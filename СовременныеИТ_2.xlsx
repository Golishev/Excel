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nv-student-01-403\Downloads\Excel-main\Excel-main\Современные ИТ\"/>
    </mc:Choice>
  </mc:AlternateContent>
  <bookViews>
    <workbookView xWindow="0" yWindow="0" windowWidth="29729" windowHeight="12836"/>
  </bookViews>
  <sheets>
    <sheet name="Лист1" sheetId="1" r:id="rId1"/>
    <sheet name="Лист2" sheetId="2" r:id="rId2"/>
  </sheets>
  <definedNames>
    <definedName name="_xlnm._FilterDatabase" localSheetId="1" hidden="1">Лист2!$A$3:$E$15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2" i="1" l="1"/>
  <c r="F12" i="1"/>
  <c r="E11" i="2" l="1"/>
  <c r="E13" i="2"/>
  <c r="E6" i="2"/>
  <c r="E8" i="2"/>
  <c r="E9" i="2"/>
  <c r="E4" i="2"/>
  <c r="E5" i="2"/>
  <c r="E7" i="2"/>
  <c r="E10" i="2"/>
  <c r="E12" i="2"/>
  <c r="B15" i="2"/>
  <c r="B14" i="2" s="1"/>
  <c r="C6" i="2" s="1"/>
  <c r="D15" i="2"/>
  <c r="D14" i="2" s="1"/>
  <c r="F4" i="1"/>
  <c r="F5" i="1"/>
  <c r="F6" i="1"/>
  <c r="F7" i="1"/>
  <c r="F8" i="1"/>
  <c r="F9" i="1"/>
  <c r="F10" i="1"/>
  <c r="F11" i="1"/>
  <c r="F3" i="1"/>
  <c r="E13" i="1"/>
  <c r="E4" i="1"/>
  <c r="E5" i="1"/>
  <c r="E6" i="1"/>
  <c r="E7" i="1"/>
  <c r="E8" i="1"/>
  <c r="E9" i="1"/>
  <c r="E10" i="1"/>
  <c r="E11" i="1"/>
  <c r="E12" i="1"/>
  <c r="D13" i="1"/>
  <c r="B13" i="1"/>
  <c r="D12" i="1"/>
  <c r="E3" i="1"/>
  <c r="C4" i="1"/>
  <c r="C5" i="1"/>
  <c r="C6" i="1"/>
  <c r="C7" i="1"/>
  <c r="C8" i="1"/>
  <c r="C9" i="1"/>
  <c r="C10" i="1"/>
  <c r="C11" i="1"/>
  <c r="C3" i="1"/>
  <c r="B12" i="1"/>
  <c r="C12" i="2" l="1"/>
  <c r="C11" i="2"/>
  <c r="C10" i="2"/>
  <c r="C9" i="2"/>
  <c r="C4" i="2"/>
  <c r="C13" i="2"/>
  <c r="C7" i="2"/>
  <c r="C8" i="2"/>
  <c r="C5" i="2"/>
  <c r="E15" i="2"/>
  <c r="E14" i="2" s="1"/>
  <c r="C15" i="2" l="1"/>
</calcChain>
</file>

<file path=xl/sharedStrings.xml><?xml version="1.0" encoding="utf-8"?>
<sst xmlns="http://schemas.openxmlformats.org/spreadsheetml/2006/main" count="39" uniqueCount="35">
  <si>
    <t>Фирмы</t>
  </si>
  <si>
    <t>Основные фонды</t>
  </si>
  <si>
    <t>Всего</t>
  </si>
  <si>
    <t>Оборотные фонды (тыс руб.)</t>
  </si>
  <si>
    <t>тыс. руб</t>
  </si>
  <si>
    <t>%</t>
  </si>
  <si>
    <t>тыс. руб.</t>
  </si>
  <si>
    <t>Пульс</t>
  </si>
  <si>
    <t>Инфа</t>
  </si>
  <si>
    <t>Эльбрус</t>
  </si>
  <si>
    <t>Милекс</t>
  </si>
  <si>
    <t>Рондо</t>
  </si>
  <si>
    <t>Искра</t>
  </si>
  <si>
    <t>Компьютерный мир</t>
  </si>
  <si>
    <t>Омега</t>
  </si>
  <si>
    <t>Форте</t>
  </si>
  <si>
    <t>Итого</t>
  </si>
  <si>
    <t>В среднем</t>
  </si>
  <si>
    <t>-</t>
  </si>
  <si>
    <t>Заводы</t>
  </si>
  <si>
    <t>Энергоресурсы (мощность)</t>
  </si>
  <si>
    <t>Тыс. кВт</t>
  </si>
  <si>
    <t>Процент %</t>
  </si>
  <si>
    <t>Численность работников, чел</t>
  </si>
  <si>
    <t>Электровооруженность, кВт</t>
  </si>
  <si>
    <t>Сигнал</t>
  </si>
  <si>
    <t>Спутник</t>
  </si>
  <si>
    <t>Восход</t>
  </si>
  <si>
    <t>Юность</t>
  </si>
  <si>
    <t>Заря</t>
  </si>
  <si>
    <t>Нептун</t>
  </si>
  <si>
    <t>Автоприцепы</t>
  </si>
  <si>
    <t>Красный металист</t>
  </si>
  <si>
    <t>Электроавтоматика</t>
  </si>
  <si>
    <t>Аналог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</si>
</sst>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%"/>
    <numFmt numFmtId="165" formatCode="0.0"/>
  </numFmts>
  <fonts count="3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7">
    <xf numFmtId="0" fontId="0" fillId="0" borderId="0" xfId="0"/>
    <xf numFmtId="0" fontId="0" fillId="0" borderId="0" xfId="0" applyAlignment="1">
      <alignment vertical="top"/>
    </xf>
    <xf numFmtId="0" fontId="0" fillId="0" borderId="0" xfId="0" applyAlignment="1">
      <alignment horizontal="left" vertical="center"/>
    </xf>
    <xf numFmtId="0" fontId="2" fillId="0" borderId="0" xfId="0" applyFont="1" applyAlignment="1">
      <alignment vertical="top"/>
    </xf>
    <xf numFmtId="0" fontId="2" fillId="0" borderId="1" xfId="0" applyFont="1" applyBorder="1" applyAlignment="1">
      <alignment vertical="top"/>
    </xf>
    <xf numFmtId="164" fontId="2" fillId="0" borderId="1" xfId="1" applyNumberFormat="1" applyFont="1" applyBorder="1" applyAlignment="1">
      <alignment vertical="top"/>
    </xf>
    <xf numFmtId="2" fontId="2" fillId="0" borderId="1" xfId="0" applyNumberFormat="1" applyFont="1" applyBorder="1" applyAlignment="1">
      <alignment vertical="top"/>
    </xf>
    <xf numFmtId="0" fontId="2" fillId="0" borderId="0" xfId="0" applyFont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164" fontId="2" fillId="0" borderId="1" xfId="1" applyNumberFormat="1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  <xf numFmtId="49" fontId="2" fillId="0" borderId="1" xfId="0" applyNumberFormat="1" applyFont="1" applyBorder="1" applyAlignment="1">
      <alignment horizontal="left" vertical="center"/>
    </xf>
    <xf numFmtId="0" fontId="2" fillId="0" borderId="1" xfId="0" applyFont="1" applyBorder="1" applyAlignment="1">
      <alignment vertical="top" wrapText="1"/>
    </xf>
    <xf numFmtId="0" fontId="2" fillId="0" borderId="2" xfId="0" applyFont="1" applyBorder="1" applyAlignment="1">
      <alignment horizontal="left" vertical="center"/>
    </xf>
    <xf numFmtId="164" fontId="2" fillId="0" borderId="2" xfId="1" applyNumberFormat="1" applyFont="1" applyBorder="1" applyAlignment="1">
      <alignment horizontal="left" vertical="center"/>
    </xf>
    <xf numFmtId="0" fontId="2" fillId="0" borderId="2" xfId="0" applyFont="1" applyBorder="1" applyAlignment="1">
      <alignment vertical="top"/>
    </xf>
    <xf numFmtId="164" fontId="2" fillId="0" borderId="2" xfId="1" applyNumberFormat="1" applyFont="1" applyBorder="1" applyAlignment="1">
      <alignment vertical="top"/>
    </xf>
    <xf numFmtId="2" fontId="2" fillId="0" borderId="2" xfId="0" applyNumberFormat="1" applyFont="1" applyBorder="1" applyAlignment="1">
      <alignment vertical="top"/>
    </xf>
    <xf numFmtId="0" fontId="2" fillId="0" borderId="3" xfId="0" applyFont="1" applyBorder="1" applyAlignment="1">
      <alignment vertical="top"/>
    </xf>
    <xf numFmtId="0" fontId="2" fillId="0" borderId="4" xfId="0" applyFont="1" applyBorder="1" applyAlignment="1">
      <alignment vertical="top"/>
    </xf>
    <xf numFmtId="0" fontId="2" fillId="0" borderId="4" xfId="0" applyFont="1" applyBorder="1" applyAlignment="1">
      <alignment vertical="top" wrapText="1"/>
    </xf>
    <xf numFmtId="0" fontId="2" fillId="0" borderId="5" xfId="0" applyFont="1" applyBorder="1" applyAlignment="1">
      <alignment vertical="top"/>
    </xf>
    <xf numFmtId="0" fontId="2" fillId="0" borderId="6" xfId="0" applyFont="1" applyBorder="1" applyAlignment="1">
      <alignment vertical="top"/>
    </xf>
    <xf numFmtId="0" fontId="2" fillId="0" borderId="7" xfId="0" applyFont="1" applyBorder="1" applyAlignment="1">
      <alignment vertical="top"/>
    </xf>
    <xf numFmtId="164" fontId="2" fillId="0" borderId="7" xfId="1" applyNumberFormat="1" applyFont="1" applyBorder="1" applyAlignment="1">
      <alignment vertical="top"/>
    </xf>
    <xf numFmtId="0" fontId="2" fillId="0" borderId="8" xfId="0" applyFont="1" applyBorder="1" applyAlignment="1">
      <alignment vertical="top"/>
    </xf>
    <xf numFmtId="164" fontId="2" fillId="0" borderId="9" xfId="1" applyNumberFormat="1" applyFont="1" applyBorder="1" applyAlignment="1">
      <alignment vertical="top"/>
    </xf>
    <xf numFmtId="0" fontId="2" fillId="0" borderId="10" xfId="0" applyFont="1" applyBorder="1" applyAlignment="1">
      <alignment vertical="top"/>
    </xf>
    <xf numFmtId="0" fontId="2" fillId="0" borderId="11" xfId="0" applyFont="1" applyBorder="1" applyAlignment="1">
      <alignment vertical="top"/>
    </xf>
    <xf numFmtId="164" fontId="2" fillId="0" borderId="11" xfId="0" applyNumberFormat="1" applyFont="1" applyBorder="1" applyAlignment="1">
      <alignment horizontal="center" vertical="top"/>
    </xf>
    <xf numFmtId="165" fontId="2" fillId="0" borderId="11" xfId="0" applyNumberFormat="1" applyFont="1" applyBorder="1" applyAlignment="1">
      <alignment horizontal="right" vertical="top"/>
    </xf>
    <xf numFmtId="2" fontId="2" fillId="0" borderId="11" xfId="0" applyNumberFormat="1" applyFont="1" applyBorder="1" applyAlignment="1">
      <alignment horizontal="right" vertical="top"/>
    </xf>
    <xf numFmtId="164" fontId="2" fillId="0" borderId="12" xfId="0" applyNumberFormat="1" applyFont="1" applyBorder="1" applyAlignment="1">
      <alignment horizontal="center" vertical="top"/>
    </xf>
    <xf numFmtId="0" fontId="2" fillId="0" borderId="4" xfId="0" applyFont="1" applyBorder="1" applyAlignment="1">
      <alignment vertical="top"/>
    </xf>
    <xf numFmtId="9" fontId="2" fillId="0" borderId="4" xfId="1" applyFont="1" applyBorder="1" applyAlignment="1">
      <alignment vertical="top"/>
    </xf>
    <xf numFmtId="165" fontId="2" fillId="0" borderId="4" xfId="0" applyNumberFormat="1" applyFont="1" applyBorder="1" applyAlignment="1">
      <alignment vertical="top"/>
    </xf>
    <xf numFmtId="2" fontId="2" fillId="0" borderId="4" xfId="0" applyNumberFormat="1" applyFont="1" applyBorder="1" applyAlignment="1">
      <alignment vertical="top"/>
    </xf>
    <xf numFmtId="9" fontId="2" fillId="0" borderId="5" xfId="1" applyFont="1" applyBorder="1" applyAlignment="1">
      <alignment vertical="top"/>
    </xf>
    <xf numFmtId="0" fontId="2" fillId="0" borderId="3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left" vertical="center" wrapText="1"/>
    </xf>
    <xf numFmtId="0" fontId="2" fillId="0" borderId="6" xfId="0" applyFont="1" applyBorder="1" applyAlignment="1">
      <alignment horizontal="left" vertical="center"/>
    </xf>
    <xf numFmtId="0" fontId="2" fillId="0" borderId="7" xfId="0" applyFont="1" applyBorder="1" applyAlignment="1">
      <alignment horizontal="left" vertical="center" wrapText="1"/>
    </xf>
    <xf numFmtId="49" fontId="2" fillId="0" borderId="6" xfId="0" applyNumberFormat="1" applyFont="1" applyBorder="1" applyAlignment="1">
      <alignment horizontal="left" vertical="center"/>
    </xf>
    <xf numFmtId="49" fontId="2" fillId="0" borderId="7" xfId="0" applyNumberFormat="1" applyFont="1" applyBorder="1" applyAlignment="1">
      <alignment horizontal="left" vertical="center"/>
    </xf>
    <xf numFmtId="0" fontId="2" fillId="0" borderId="6" xfId="0" applyFont="1" applyBorder="1" applyAlignment="1">
      <alignment horizontal="left" vertical="center"/>
    </xf>
    <xf numFmtId="165" fontId="2" fillId="0" borderId="7" xfId="0" applyNumberFormat="1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165" fontId="2" fillId="0" borderId="9" xfId="0" applyNumberFormat="1" applyFont="1" applyBorder="1" applyAlignment="1">
      <alignment horizontal="left" vertical="center"/>
    </xf>
    <xf numFmtId="0" fontId="2" fillId="0" borderId="10" xfId="0" applyFont="1" applyBorder="1" applyAlignment="1">
      <alignment horizontal="left" vertical="center"/>
    </xf>
    <xf numFmtId="0" fontId="2" fillId="0" borderId="11" xfId="0" applyFont="1" applyBorder="1" applyAlignment="1">
      <alignment horizontal="left" vertical="center"/>
    </xf>
    <xf numFmtId="164" fontId="2" fillId="0" borderId="11" xfId="1" applyNumberFormat="1" applyFont="1" applyBorder="1" applyAlignment="1">
      <alignment horizontal="left" vertical="center"/>
    </xf>
    <xf numFmtId="165" fontId="2" fillId="0" borderId="12" xfId="0" applyNumberFormat="1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9" fontId="2" fillId="0" borderId="4" xfId="1" applyFont="1" applyBorder="1" applyAlignment="1">
      <alignment horizontal="left" vertical="center"/>
    </xf>
    <xf numFmtId="165" fontId="2" fillId="0" borderId="5" xfId="0" applyNumberFormat="1" applyFont="1" applyBorder="1" applyAlignment="1">
      <alignment horizontal="left" vertical="center"/>
    </xf>
  </cellXfs>
  <cellStyles count="2">
    <cellStyle name="Обычный" xfId="0" builtinId="0"/>
    <cellStyle name="Процентный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4"/>
  <sheetViews>
    <sheetView tabSelected="1" workbookViewId="0">
      <selection activeCell="E2" sqref="E1:F1048576"/>
    </sheetView>
  </sheetViews>
  <sheetFormatPr defaultRowHeight="16.3" x14ac:dyDescent="0.25"/>
  <cols>
    <col min="1" max="1" width="18.28515625" style="3" customWidth="1"/>
    <col min="2" max="2" width="6.85546875" style="3" customWidth="1"/>
    <col min="3" max="3" width="11.5703125" style="3" customWidth="1"/>
    <col min="4" max="4" width="16.140625" style="3" customWidth="1"/>
    <col min="5" max="6" width="8.5703125" style="3" customWidth="1"/>
    <col min="7" max="14" width="9.140625" style="3"/>
    <col min="15" max="16384" width="9.140625" style="1"/>
  </cols>
  <sheetData>
    <row r="1" spans="1:6" ht="49.55" thickTop="1" x14ac:dyDescent="0.25">
      <c r="A1" s="18" t="s">
        <v>0</v>
      </c>
      <c r="B1" s="19" t="s">
        <v>1</v>
      </c>
      <c r="C1" s="19"/>
      <c r="D1" s="20" t="s">
        <v>3</v>
      </c>
      <c r="E1" s="19" t="s">
        <v>2</v>
      </c>
      <c r="F1" s="21"/>
    </row>
    <row r="2" spans="1:6" ht="32.549999999999997" x14ac:dyDescent="0.25">
      <c r="A2" s="22"/>
      <c r="B2" s="12" t="s">
        <v>4</v>
      </c>
      <c r="C2" s="4" t="s">
        <v>5</v>
      </c>
      <c r="D2" s="4"/>
      <c r="E2" s="12" t="s">
        <v>6</v>
      </c>
      <c r="F2" s="23" t="s">
        <v>5</v>
      </c>
    </row>
    <row r="3" spans="1:6" x14ac:dyDescent="0.25">
      <c r="A3" s="22" t="s">
        <v>7</v>
      </c>
      <c r="B3" s="4">
        <v>128.1</v>
      </c>
      <c r="C3" s="5">
        <f>B3/B$12</f>
        <v>3.9052496798975669E-2</v>
      </c>
      <c r="D3" s="4">
        <v>96.3</v>
      </c>
      <c r="E3" s="6">
        <f>B3+D3</f>
        <v>224.39999999999998</v>
      </c>
      <c r="F3" s="24">
        <f>E3/E$12</f>
        <v>4.9262381454162264E-2</v>
      </c>
    </row>
    <row r="4" spans="1:6" x14ac:dyDescent="0.25">
      <c r="A4" s="22" t="s">
        <v>8</v>
      </c>
      <c r="B4" s="4">
        <v>584.70000000000005</v>
      </c>
      <c r="C4" s="5">
        <f t="shared" ref="C4:C11" si="0">B4/B$12</f>
        <v>0.17825132613865008</v>
      </c>
      <c r="D4" s="4">
        <v>153.19999999999999</v>
      </c>
      <c r="E4" s="6">
        <f t="shared" ref="E4:E12" si="1">B4+D4</f>
        <v>737.90000000000009</v>
      </c>
      <c r="F4" s="24">
        <f t="shared" ref="F4:F11" si="2">E4/E$12</f>
        <v>0.16199069195644539</v>
      </c>
    </row>
    <row r="5" spans="1:6" x14ac:dyDescent="0.25">
      <c r="A5" s="22" t="s">
        <v>9</v>
      </c>
      <c r="B5" s="4">
        <v>398.5</v>
      </c>
      <c r="C5" s="5">
        <f t="shared" si="0"/>
        <v>0.12148649472593133</v>
      </c>
      <c r="D5" s="4">
        <v>125.4</v>
      </c>
      <c r="E5" s="6">
        <f t="shared" si="1"/>
        <v>523.9</v>
      </c>
      <c r="F5" s="24">
        <f t="shared" si="2"/>
        <v>0.11501141552511414</v>
      </c>
    </row>
    <row r="6" spans="1:6" x14ac:dyDescent="0.25">
      <c r="A6" s="22" t="s">
        <v>10</v>
      </c>
      <c r="B6" s="4">
        <v>458.4</v>
      </c>
      <c r="C6" s="5">
        <f t="shared" si="0"/>
        <v>0.13974757636729465</v>
      </c>
      <c r="D6" s="4">
        <v>150</v>
      </c>
      <c r="E6" s="6">
        <f t="shared" si="1"/>
        <v>608.4</v>
      </c>
      <c r="F6" s="24">
        <f t="shared" si="2"/>
        <v>0.13356164383561642</v>
      </c>
    </row>
    <row r="7" spans="1:6" x14ac:dyDescent="0.25">
      <c r="A7" s="22" t="s">
        <v>11</v>
      </c>
      <c r="B7" s="4">
        <v>356.3</v>
      </c>
      <c r="C7" s="5">
        <f t="shared" si="0"/>
        <v>0.10862142552283396</v>
      </c>
      <c r="D7" s="4">
        <v>142.6</v>
      </c>
      <c r="E7" s="6">
        <f t="shared" si="1"/>
        <v>498.9</v>
      </c>
      <c r="F7" s="24">
        <f t="shared" si="2"/>
        <v>0.10952318229715488</v>
      </c>
    </row>
    <row r="8" spans="1:6" x14ac:dyDescent="0.25">
      <c r="A8" s="22" t="s">
        <v>12</v>
      </c>
      <c r="B8" s="4">
        <v>342.1</v>
      </c>
      <c r="C8" s="5">
        <f t="shared" si="0"/>
        <v>0.10429242119382964</v>
      </c>
      <c r="D8" s="4">
        <v>135.69999999999999</v>
      </c>
      <c r="E8" s="6">
        <f t="shared" si="1"/>
        <v>477.8</v>
      </c>
      <c r="F8" s="24">
        <f t="shared" si="2"/>
        <v>0.10489111345275727</v>
      </c>
    </row>
    <row r="9" spans="1:6" x14ac:dyDescent="0.25">
      <c r="A9" s="22" t="s">
        <v>13</v>
      </c>
      <c r="B9" s="4">
        <v>400</v>
      </c>
      <c r="C9" s="5">
        <f t="shared" si="0"/>
        <v>0.12194378391561489</v>
      </c>
      <c r="D9" s="4">
        <v>246.3</v>
      </c>
      <c r="E9" s="6">
        <f t="shared" si="1"/>
        <v>646.29999999999995</v>
      </c>
      <c r="F9" s="24">
        <f t="shared" si="2"/>
        <v>0.14188180540920264</v>
      </c>
    </row>
    <row r="10" spans="1:6" x14ac:dyDescent="0.25">
      <c r="A10" s="22" t="s">
        <v>14</v>
      </c>
      <c r="B10" s="4">
        <v>355.4</v>
      </c>
      <c r="C10" s="5">
        <f t="shared" si="0"/>
        <v>0.10834705200902382</v>
      </c>
      <c r="D10" s="4">
        <v>125</v>
      </c>
      <c r="E10" s="6">
        <f t="shared" si="1"/>
        <v>480.4</v>
      </c>
      <c r="F10" s="24">
        <f t="shared" si="2"/>
        <v>0.10546188970846503</v>
      </c>
    </row>
    <row r="11" spans="1:6" ht="17.05" thickBot="1" x14ac:dyDescent="0.3">
      <c r="A11" s="25" t="s">
        <v>15</v>
      </c>
      <c r="B11" s="15">
        <v>256.7</v>
      </c>
      <c r="C11" s="16">
        <f t="shared" si="0"/>
        <v>7.8257423327845854E-2</v>
      </c>
      <c r="D11" s="15">
        <v>100.5</v>
      </c>
      <c r="E11" s="17">
        <f t="shared" si="1"/>
        <v>357.2</v>
      </c>
      <c r="F11" s="26">
        <f t="shared" si="2"/>
        <v>7.8415876361081827E-2</v>
      </c>
    </row>
    <row r="12" spans="1:6" ht="17.05" thickTop="1" x14ac:dyDescent="0.25">
      <c r="A12" s="18" t="s">
        <v>16</v>
      </c>
      <c r="B12" s="33">
        <f>SUM(B3:B11)</f>
        <v>3280.2000000000003</v>
      </c>
      <c r="C12" s="34">
        <f>SUM(C3:C11)</f>
        <v>0.99999999999999978</v>
      </c>
      <c r="D12" s="35">
        <f>SUM(D3:D11)</f>
        <v>1275</v>
      </c>
      <c r="E12" s="36">
        <f t="shared" si="1"/>
        <v>4555.2000000000007</v>
      </c>
      <c r="F12" s="37">
        <f>SUM(F3:F11)</f>
        <v>0.99999999999999989</v>
      </c>
    </row>
    <row r="13" spans="1:6" ht="17.05" thickBot="1" x14ac:dyDescent="0.3">
      <c r="A13" s="27" t="s">
        <v>17</v>
      </c>
      <c r="B13" s="28">
        <f>AVERAGE(B3:B11)</f>
        <v>364.4666666666667</v>
      </c>
      <c r="C13" s="29" t="s">
        <v>18</v>
      </c>
      <c r="D13" s="30">
        <f>AVERAGE(D3:D11)</f>
        <v>141.66666666666666</v>
      </c>
      <c r="E13" s="31">
        <f>AVERAGE(E3:E11)</f>
        <v>506.13333333333333</v>
      </c>
      <c r="F13" s="32" t="s">
        <v>18</v>
      </c>
    </row>
    <row r="14" spans="1:6" ht="17.05" thickTop="1" x14ac:dyDescent="0.25"/>
  </sheetData>
  <mergeCells count="2">
    <mergeCell ref="B1:C1"/>
    <mergeCell ref="E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6"/>
  <sheetViews>
    <sheetView workbookViewId="0">
      <selection activeCell="F5" sqref="F5"/>
    </sheetView>
  </sheetViews>
  <sheetFormatPr defaultRowHeight="16.3" x14ac:dyDescent="0.25"/>
  <cols>
    <col min="1" max="1" width="20.140625" style="7" customWidth="1"/>
    <col min="2" max="2" width="12" style="7" customWidth="1"/>
    <col min="3" max="3" width="12.7109375" style="7" customWidth="1"/>
    <col min="4" max="4" width="13.7109375" style="7" customWidth="1"/>
    <col min="5" max="5" width="22.5703125" style="7" customWidth="1"/>
    <col min="6" max="12" width="9.140625" style="7"/>
    <col min="13" max="16384" width="9.140625" style="2"/>
  </cols>
  <sheetData>
    <row r="1" spans="1:5" ht="28.65" customHeight="1" thickTop="1" x14ac:dyDescent="0.25">
      <c r="A1" s="38" t="s">
        <v>19</v>
      </c>
      <c r="B1" s="39" t="s">
        <v>20</v>
      </c>
      <c r="C1" s="39"/>
      <c r="D1" s="39" t="s">
        <v>23</v>
      </c>
      <c r="E1" s="40" t="s">
        <v>24</v>
      </c>
    </row>
    <row r="2" spans="1:5" x14ac:dyDescent="0.25">
      <c r="A2" s="41"/>
      <c r="B2" s="8" t="s">
        <v>21</v>
      </c>
      <c r="C2" s="8" t="s">
        <v>22</v>
      </c>
      <c r="D2" s="10"/>
      <c r="E2" s="42"/>
    </row>
    <row r="3" spans="1:5" x14ac:dyDescent="0.25">
      <c r="A3" s="43">
        <v>1</v>
      </c>
      <c r="B3" s="11">
        <v>2</v>
      </c>
      <c r="C3" s="11">
        <v>3</v>
      </c>
      <c r="D3" s="11">
        <v>4</v>
      </c>
      <c r="E3" s="44">
        <v>5</v>
      </c>
    </row>
    <row r="4" spans="1:5" x14ac:dyDescent="0.25">
      <c r="A4" s="45" t="s">
        <v>31</v>
      </c>
      <c r="B4" s="8">
        <v>11875</v>
      </c>
      <c r="C4" s="9">
        <f t="shared" ref="C4:C13" si="0">B4/$B$14</f>
        <v>0.1806083650190114</v>
      </c>
      <c r="D4" s="8">
        <v>1215</v>
      </c>
      <c r="E4" s="46">
        <f t="shared" ref="E4:E13" si="1">B4/D4</f>
        <v>9.7736625514403297</v>
      </c>
    </row>
    <row r="5" spans="1:5" x14ac:dyDescent="0.25">
      <c r="A5" s="45" t="s">
        <v>32</v>
      </c>
      <c r="B5" s="8">
        <v>9368</v>
      </c>
      <c r="C5" s="9">
        <f t="shared" si="0"/>
        <v>0.14247908745247148</v>
      </c>
      <c r="D5" s="8">
        <v>900</v>
      </c>
      <c r="E5" s="46">
        <f t="shared" si="1"/>
        <v>10.408888888888889</v>
      </c>
    </row>
    <row r="6" spans="1:5" x14ac:dyDescent="0.25">
      <c r="A6" s="45" t="s">
        <v>28</v>
      </c>
      <c r="B6" s="8">
        <v>12856</v>
      </c>
      <c r="C6" s="9">
        <f t="shared" si="0"/>
        <v>0.19552851711026617</v>
      </c>
      <c r="D6" s="8">
        <v>873</v>
      </c>
      <c r="E6" s="46">
        <f t="shared" si="1"/>
        <v>14.7262313860252</v>
      </c>
    </row>
    <row r="7" spans="1:5" x14ac:dyDescent="0.25">
      <c r="A7" s="45" t="s">
        <v>33</v>
      </c>
      <c r="B7" s="8">
        <v>7837</v>
      </c>
      <c r="C7" s="9">
        <f t="shared" si="0"/>
        <v>0.11919391634980989</v>
      </c>
      <c r="D7" s="8">
        <v>795</v>
      </c>
      <c r="E7" s="46">
        <f t="shared" si="1"/>
        <v>9.8578616352201252</v>
      </c>
    </row>
    <row r="8" spans="1:5" x14ac:dyDescent="0.25">
      <c r="A8" s="45" t="s">
        <v>29</v>
      </c>
      <c r="B8" s="8">
        <v>4444</v>
      </c>
      <c r="C8" s="9">
        <f t="shared" si="0"/>
        <v>6.7589353612167294E-2</v>
      </c>
      <c r="D8" s="8">
        <v>753</v>
      </c>
      <c r="E8" s="46">
        <f t="shared" si="1"/>
        <v>5.9017264276228421</v>
      </c>
    </row>
    <row r="9" spans="1:5" x14ac:dyDescent="0.25">
      <c r="A9" s="45" t="s">
        <v>30</v>
      </c>
      <c r="B9" s="8">
        <v>3860</v>
      </c>
      <c r="C9" s="9">
        <f t="shared" si="0"/>
        <v>5.8707224334600759E-2</v>
      </c>
      <c r="D9" s="8">
        <v>654</v>
      </c>
      <c r="E9" s="46">
        <f t="shared" si="1"/>
        <v>5.9021406727828749</v>
      </c>
    </row>
    <row r="10" spans="1:5" x14ac:dyDescent="0.25">
      <c r="A10" s="45" t="s">
        <v>34</v>
      </c>
      <c r="B10" s="8">
        <v>5876</v>
      </c>
      <c r="C10" s="9">
        <f t="shared" si="0"/>
        <v>8.9368821292775666E-2</v>
      </c>
      <c r="D10" s="8">
        <v>650</v>
      </c>
      <c r="E10" s="46">
        <f t="shared" si="1"/>
        <v>9.0399999999999991</v>
      </c>
    </row>
    <row r="11" spans="1:5" x14ac:dyDescent="0.25">
      <c r="A11" s="45" t="s">
        <v>26</v>
      </c>
      <c r="B11" s="8">
        <v>6375</v>
      </c>
      <c r="C11" s="9">
        <f t="shared" si="0"/>
        <v>9.6958174904942962E-2</v>
      </c>
      <c r="D11" s="8">
        <v>594</v>
      </c>
      <c r="E11" s="46">
        <f t="shared" si="1"/>
        <v>10.732323232323232</v>
      </c>
    </row>
    <row r="12" spans="1:5" x14ac:dyDescent="0.25">
      <c r="A12" s="45" t="s">
        <v>25</v>
      </c>
      <c r="B12" s="8">
        <v>2009</v>
      </c>
      <c r="C12" s="9">
        <f t="shared" si="0"/>
        <v>3.0555133079847908E-2</v>
      </c>
      <c r="D12" s="8">
        <v>400</v>
      </c>
      <c r="E12" s="46">
        <f t="shared" si="1"/>
        <v>5.0225</v>
      </c>
    </row>
    <row r="13" spans="1:5" ht="17.05" thickBot="1" x14ac:dyDescent="0.3">
      <c r="A13" s="47" t="s">
        <v>27</v>
      </c>
      <c r="B13" s="13">
        <v>1250</v>
      </c>
      <c r="C13" s="14">
        <f t="shared" si="0"/>
        <v>1.9011406844106463E-2</v>
      </c>
      <c r="D13" s="13">
        <v>198</v>
      </c>
      <c r="E13" s="48">
        <f t="shared" si="1"/>
        <v>6.3131313131313131</v>
      </c>
    </row>
    <row r="14" spans="1:5" ht="17.05" thickTop="1" x14ac:dyDescent="0.25">
      <c r="A14" s="53" t="s">
        <v>16</v>
      </c>
      <c r="B14" s="54">
        <f>SUM(B4:B13)</f>
        <v>65750</v>
      </c>
      <c r="C14" s="55">
        <v>1</v>
      </c>
      <c r="D14" s="54">
        <f>SUM(D4:D13)</f>
        <v>7032</v>
      </c>
      <c r="E14" s="56">
        <f>SUM(E4:E13)</f>
        <v>87.678466107434787</v>
      </c>
    </row>
    <row r="15" spans="1:5" ht="17.05" thickBot="1" x14ac:dyDescent="0.3">
      <c r="A15" s="49" t="s">
        <v>17</v>
      </c>
      <c r="B15" s="50">
        <f xml:space="preserve"> AVERAGE(B4:B13)</f>
        <v>6575</v>
      </c>
      <c r="C15" s="51">
        <f xml:space="preserve"> AVERAGE(C4:C13)</f>
        <v>0.1</v>
      </c>
      <c r="D15" s="50">
        <f xml:space="preserve"> AVERAGE(D4:D13)</f>
        <v>703.2</v>
      </c>
      <c r="E15" s="52">
        <f xml:space="preserve"> AVERAGE(E4:E13)</f>
        <v>8.7678466107434794</v>
      </c>
    </row>
    <row r="16" spans="1:5" ht="17.05" thickTop="1" x14ac:dyDescent="0.25"/>
  </sheetData>
  <autoFilter ref="A3:E15"/>
  <sortState ref="A4:E13">
    <sortCondition descending="1" ref="D4:D13"/>
  </sortState>
  <mergeCells count="4">
    <mergeCell ref="B1:C1"/>
    <mergeCell ref="A1:A2"/>
    <mergeCell ref="D1:D2"/>
    <mergeCell ref="E1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Company>NCFU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nv-student-01-321</dc:creator>
  <cp:lastModifiedBy>nv-student-01-403</cp:lastModifiedBy>
  <dcterms:created xsi:type="dcterms:W3CDTF">2025-10-18T10:57:37Z</dcterms:created>
  <dcterms:modified xsi:type="dcterms:W3CDTF">2025-11-22T10:00:35Z</dcterms:modified>
</cp:coreProperties>
</file>