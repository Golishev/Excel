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Лист1" sheetId="1" state="visible" r:id="rId2"/>
    <sheet name="Лист2" sheetId="2" state="visible" r:id="rId3"/>
    <sheet name="Лист3" sheetId="3" state="visible" r:id="rId4"/>
  </sheets>
  <definedNames>
    <definedName name="ABC">'Лист2'!$A$1:$A$40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<sst xmlns="http://schemas.openxmlformats.org/spreadsheetml/2006/main" count="43" uniqueCount="43">
  <si>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Гай Юлий Цезарь:”Пришел, увидел, победил!”</t>
  </si>
  <si>
    <t>ЗЕОААРНОАЫЙМЕХ!БВФХН,ЙР;АШЖНИЙР;АФУ.ЙИНРГВ</t>
  </si>
  <si>
    <t>.</t>
  </si>
  <si>
    <t>,</t>
  </si>
  <si>
    <t xml:space="preserve"> </t>
  </si>
  <si>
    <t>:</t>
  </si>
  <si>
    <t>”</t>
  </si>
  <si>
    <t>!</t>
  </si>
  <si>
    <t>;</t>
  </si>
  <si>
    <t>А</t>
  </si>
  <si>
    <t>Б</t>
  </si>
  <si>
    <t>В</t>
  </si>
  <si>
    <t>Г</t>
  </si>
  <si>
    <t>Д</t>
  </si>
  <si>
    <t>Е</t>
  </si>
  <si>
    <t>-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</si>
  <si>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</si>
  <si>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</si>
  <si>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</si>
  <si>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</si>
  <si>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</si>
  <si>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</si>
  <si>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</si>
  <si>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</si>
  <si>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</si>
  <si>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</si>
  <si>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</si>
  <si>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</si>
  <si>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</si>
  <si>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</si>
  <si>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</si>
  <si>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</si>
  <si>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</si>
  <si>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</si>
  <si>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</si>
  <si>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</si>
  <si>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</si>
  <si>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</si>
  <si>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</si>
  <si>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</si>
  <si>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</si>
  <si>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</si>
  <si>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ЗЕОА:РНОАЫЙМЕХ,БВФХНЭЙР;АШЖНИЙР;АФУ-ЙИНРГВ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</si>
</sst>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Times New Roman"/>
    </font>
    <font>
      <sz val="14.00000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D10" activeCellId="0" sqref="D10"/>
    </sheetView>
  </sheetViews>
  <sheetFormatPr defaultRowHeight="14.25"/>
  <cols>
    <col min="1" max="5" style="1" width="9.140625"/>
    <col bestFit="1" min="6" max="6" style="1" width="10.57421875"/>
    <col min="7" max="12" style="1" width="9.140625"/>
  </cols>
  <sheetData>
    <row r="1" ht="15">
      <c r="B1" s="1" t="s">
        <v>0</v>
      </c>
    </row>
    <row r="3" ht="15">
      <c r="B3" s="1" t="str">
        <f>UPPER(B1)</f>
        <v xml:space="preserve">ГАЙ ЮЛИЙ ЦЕЗАРЬ:”ПРИШЕЛ, УВИДЕЛ, ПОБЕДИЛ!”</v>
      </c>
      <c r="D3" s="1">
        <f>LEN(B3)</f>
        <v>42</v>
      </c>
    </row>
    <row r="4" ht="15">
      <c r="D4" s="1">
        <v>5</v>
      </c>
    </row>
    <row r="6" ht="17.25">
      <c r="A6" s="1">
        <v>1</v>
      </c>
      <c r="B6" s="1" t="str">
        <f>MID(B$3,A6,1)</f>
        <v>Г</v>
      </c>
      <c r="C6" s="2">
        <f t="shared" ref="C6:C9" si="0">MATCH(B6,ABC,0)</f>
        <v>11</v>
      </c>
      <c r="D6" s="2">
        <f>IF(MATCH(B6,ABC,0)+$D$4&gt;=40,MATCH(B6,ABC,0)+$D$4-40,MATCH(B6,ABC,0)+$D$4)</f>
        <v>16</v>
      </c>
      <c r="E6" s="2" t="str">
        <f>INDEX(ABC,D6)</f>
        <v>З</v>
      </c>
      <c r="F6" s="2" t="str">
        <f>E6</f>
        <v>З</v>
      </c>
    </row>
    <row r="7" ht="17.25">
      <c r="A7" s="1">
        <v>2</v>
      </c>
      <c r="B7" s="1" t="str">
        <f>MID(B$3,A7,1)</f>
        <v>А</v>
      </c>
      <c r="C7" s="2">
        <f t="shared" si="0"/>
        <v>8</v>
      </c>
      <c r="D7" s="2">
        <f>IF(MATCH(B7,ABC,0)+$D$4&gt;=40,MATCH(B7,ABC,0)+$D$4-40,MATCH(B7,ABC,0)+$D$4)</f>
        <v>13</v>
      </c>
      <c r="E7" s="2" t="str">
        <f>INDEX(ABC,D7)</f>
        <v>Е</v>
      </c>
      <c r="F7" s="1" t="str">
        <f>F6&amp;E7</f>
        <v>ЗЕ</v>
      </c>
    </row>
    <row r="8" ht="17.25">
      <c r="A8" s="1">
        <v>3</v>
      </c>
      <c r="B8" s="1" t="str">
        <f>MID(B$3,A8,1)</f>
        <v>Й</v>
      </c>
      <c r="C8" s="2">
        <f t="shared" si="0"/>
        <v>18</v>
      </c>
      <c r="D8" s="2">
        <f>IF(MATCH(B8,ABC,0)+$D$4&gt;=40,MATCH(B8,ABC,0)+$D$4-40,MATCH(B8,ABC,0)+$D$4)</f>
        <v>23</v>
      </c>
      <c r="E8" s="2" t="str">
        <f>INDEX(ABC,D8)</f>
        <v>О</v>
      </c>
      <c r="F8" s="1" t="str">
        <f>F7&amp;E8</f>
        <v>ЗЕО</v>
      </c>
    </row>
    <row r="9" ht="17.25">
      <c r="A9" s="1">
        <v>4</v>
      </c>
      <c r="B9" s="1" t="str">
        <f>MID(B$3,A9,1)</f>
        <v xml:space="preserve"> </v>
      </c>
      <c r="C9" s="2">
        <f t="shared" si="0"/>
        <v>3</v>
      </c>
      <c r="D9" s="2">
        <f>IF(MATCH(B9,ABC,0)+$D$4&gt;=40,MATCH(B9,ABC,0)+$D$4-40,MATCH(B9,ABC,0)+$D$4)</f>
        <v>8</v>
      </c>
      <c r="E9" s="2" t="str">
        <f>INDEX(ABC,D9)</f>
        <v>А</v>
      </c>
      <c r="F9" s="1" t="str">
        <f>F8&amp;E9</f>
        <v>ЗЕОА</v>
      </c>
    </row>
    <row r="10" ht="17.25">
      <c r="A10" s="1">
        <v>5</v>
      </c>
      <c r="B10" s="1" t="str">
        <f>MID(B$3,A10,1)</f>
        <v>Ю</v>
      </c>
      <c r="C10" s="2">
        <f t="shared" ref="C10:C47" si="1">MATCH(B10,ABC,0)</f>
        <v>39</v>
      </c>
      <c r="D10" s="2">
        <f>IF(MATCH(B10,ABC,0)+$D$4&gt;=40,MATCH(B10,ABC,0)+$D$4-40,MATCH(B10,ABC,0)+$D$4)</f>
        <v>4</v>
      </c>
      <c r="E10" s="2" t="str">
        <f>INDEX(ABC,D10)</f>
        <v>:</v>
      </c>
      <c r="F10" s="1" t="str">
        <f>F9&amp;E10</f>
        <v>ЗЕОА:</v>
      </c>
    </row>
    <row r="11" ht="17.25">
      <c r="A11" s="1">
        <v>6</v>
      </c>
      <c r="B11" s="1" t="str">
        <f>MID(B$3,A11,1)</f>
        <v>Л</v>
      </c>
      <c r="C11" s="2">
        <f t="shared" si="1"/>
        <v>20</v>
      </c>
      <c r="D11" s="2">
        <f>IF(MATCH(B11,ABC,0)+$D$4&gt;=40,MATCH(B11,ABC,0)+$D$4-40,MATCH(B11,ABC,0)+$D$4)</f>
        <v>25</v>
      </c>
      <c r="E11" s="2" t="str">
        <f>INDEX(ABC,D11)</f>
        <v>Р</v>
      </c>
      <c r="F11" s="1" t="str">
        <f>F10&amp;E11</f>
        <v>ЗЕОА:Р</v>
      </c>
    </row>
    <row r="12" ht="17.25">
      <c r="A12" s="1">
        <v>7</v>
      </c>
      <c r="B12" s="1" t="str">
        <f>MID(B$3,A12,1)</f>
        <v>И</v>
      </c>
      <c r="C12" s="2">
        <f t="shared" si="1"/>
        <v>17</v>
      </c>
      <c r="D12" s="2">
        <f>IF(MATCH(B12,ABC,0)+$D$4&gt;=40,MATCH(B12,ABC,0)+$D$4-40,MATCH(B12,ABC,0)+$D$4)</f>
        <v>22</v>
      </c>
      <c r="E12" s="2" t="str">
        <f>INDEX(ABC,D12)</f>
        <v>Н</v>
      </c>
      <c r="F12" s="1" t="str">
        <f>F11&amp;E12</f>
        <v>ЗЕОА:РН</v>
      </c>
    </row>
    <row r="13" ht="17.25">
      <c r="A13" s="1">
        <v>8</v>
      </c>
      <c r="B13" s="1" t="str">
        <f>MID(B$3,A13,1)</f>
        <v>Й</v>
      </c>
      <c r="C13" s="2">
        <f t="shared" si="1"/>
        <v>18</v>
      </c>
      <c r="D13" s="2">
        <f>IF(MATCH(B13,ABC,0)+$D$4&gt;=40,MATCH(B13,ABC,0)+$D$4-40,MATCH(B13,ABC,0)+$D$4)</f>
        <v>23</v>
      </c>
      <c r="E13" s="2" t="str">
        <f>INDEX(ABC,D13)</f>
        <v>О</v>
      </c>
      <c r="F13" s="1" t="str">
        <f>F12&amp;E13</f>
        <v>ЗЕОА:РНО</v>
      </c>
    </row>
    <row r="14" ht="17.25">
      <c r="A14" s="1">
        <v>9</v>
      </c>
      <c r="B14" s="1" t="str">
        <f>MID(B$3,A14,1)</f>
        <v xml:space="preserve"> </v>
      </c>
      <c r="C14" s="2">
        <f t="shared" si="1"/>
        <v>3</v>
      </c>
      <c r="D14" s="2">
        <f>IF(MATCH(B14,ABC,0)+$D$4&gt;=40,MATCH(B14,ABC,0)+$D$4-40,MATCH(B14,ABC,0)+$D$4)</f>
        <v>8</v>
      </c>
      <c r="E14" s="2" t="str">
        <f>INDEX(ABC,D14)</f>
        <v>А</v>
      </c>
      <c r="F14" s="1" t="str">
        <f>F13&amp;E14</f>
        <v>ЗЕОА:РНОА</v>
      </c>
    </row>
    <row r="15" ht="17.25">
      <c r="A15" s="1">
        <v>10</v>
      </c>
      <c r="B15" s="1" t="str">
        <f>MID(B$3,A15,1)</f>
        <v>Ц</v>
      </c>
      <c r="C15" s="2">
        <f t="shared" si="1"/>
        <v>31</v>
      </c>
      <c r="D15" s="2">
        <f>IF(MATCH(B15,ABC,0)+$D$4&gt;=40,MATCH(B15,ABC,0)+$D$4-40,MATCH(B15,ABC,0)+$D$4)</f>
        <v>36</v>
      </c>
      <c r="E15" s="2" t="str">
        <f>INDEX(ABC,D15)</f>
        <v>Ы</v>
      </c>
      <c r="F15" s="1" t="str">
        <f>F14&amp;E15</f>
        <v>ЗЕОА:РНОАЫ</v>
      </c>
    </row>
    <row r="16" ht="17.25">
      <c r="A16" s="1">
        <v>11</v>
      </c>
      <c r="B16" s="1" t="str">
        <f>MID(B$3,A16,1)</f>
        <v>Е</v>
      </c>
      <c r="C16" s="2">
        <f t="shared" si="1"/>
        <v>13</v>
      </c>
      <c r="D16" s="2">
        <f>IF(MATCH(B16,ABC,0)+$D$4&gt;=40,MATCH(B16,ABC,0)+$D$4-40,MATCH(B16,ABC,0)+$D$4)</f>
        <v>18</v>
      </c>
      <c r="E16" s="2" t="str">
        <f>INDEX(ABC,D16)</f>
        <v>Й</v>
      </c>
      <c r="F16" s="1" t="str">
        <f>F15&amp;E16</f>
        <v>ЗЕОА:РНОАЫЙ</v>
      </c>
    </row>
    <row r="17" ht="17.25">
      <c r="A17" s="1">
        <v>12</v>
      </c>
      <c r="B17" s="1" t="str">
        <f>MID(B$3,A17,1)</f>
        <v>З</v>
      </c>
      <c r="C17" s="2">
        <f t="shared" si="1"/>
        <v>16</v>
      </c>
      <c r="D17" s="2">
        <f>IF(MATCH(B17,ABC,0)+$D$4&gt;=40,MATCH(B17,ABC,0)+$D$4-40,MATCH(B17,ABC,0)+$D$4)</f>
        <v>21</v>
      </c>
      <c r="E17" s="2" t="str">
        <f>INDEX(ABC,D17)</f>
        <v>М</v>
      </c>
      <c r="F17" s="1" t="str">
        <f>F16&amp;E17</f>
        <v>ЗЕОА:РНОАЫЙМ</v>
      </c>
    </row>
    <row r="18" ht="17.25">
      <c r="A18" s="1">
        <v>13</v>
      </c>
      <c r="B18" s="1" t="str">
        <f>MID(B$3,A18,1)</f>
        <v>А</v>
      </c>
      <c r="C18" s="2">
        <f t="shared" si="1"/>
        <v>8</v>
      </c>
      <c r="D18" s="2">
        <f>IF(MATCH(B18,ABC,0)+$D$4&gt;=40,MATCH(B18,ABC,0)+$D$4-40,MATCH(B18,ABC,0)+$D$4)</f>
        <v>13</v>
      </c>
      <c r="E18" s="2" t="str">
        <f>INDEX(ABC,D18)</f>
        <v>Е</v>
      </c>
      <c r="F18" s="1" t="str">
        <f>F17&amp;E18</f>
        <v>ЗЕОА:РНОАЫЙМЕ</v>
      </c>
    </row>
    <row r="19" ht="17.25">
      <c r="A19" s="1">
        <v>14</v>
      </c>
      <c r="B19" s="1" t="str">
        <f>MID(B$3,A19,1)</f>
        <v>Р</v>
      </c>
      <c r="C19" s="2">
        <f t="shared" si="1"/>
        <v>25</v>
      </c>
      <c r="D19" s="2">
        <f>IF(MATCH(B19,ABC,0)+$D$4&gt;=40,MATCH(B19,ABC,0)+$D$4-40,MATCH(B19,ABC,0)+$D$4)</f>
        <v>30</v>
      </c>
      <c r="E19" s="2" t="str">
        <f>INDEX(ABC,D19)</f>
        <v>Х</v>
      </c>
      <c r="F19" s="1" t="str">
        <f>F18&amp;E19</f>
        <v>ЗЕОА:РНОАЫЙМЕХ</v>
      </c>
    </row>
    <row r="20" ht="17.25">
      <c r="A20" s="1">
        <v>15</v>
      </c>
      <c r="B20" s="1" t="str">
        <f>MID(B$3,A20,1)</f>
        <v>Ь</v>
      </c>
      <c r="C20" s="2">
        <f t="shared" si="1"/>
        <v>37</v>
      </c>
      <c r="D20" s="2">
        <f>IF(MATCH(B20,ABC,0)+$D$4&gt;=40,MATCH(B20,ABC,0)+$D$4-40,MATCH(B20,ABC,0)+$D$4)</f>
        <v>2</v>
      </c>
      <c r="E20" s="2" t="str">
        <f>INDEX(ABC,D20)</f>
        <v>,</v>
      </c>
      <c r="F20" s="1" t="str">
        <f>F19&amp;E20</f>
        <v>ЗЕОА:РНОАЫЙМЕХ,</v>
      </c>
    </row>
    <row r="21" ht="17.25">
      <c r="A21" s="1">
        <v>16</v>
      </c>
      <c r="B21" s="1" t="str">
        <f>MID(B$3,A21,1)</f>
        <v>:</v>
      </c>
      <c r="C21" s="2">
        <f t="shared" si="1"/>
        <v>4</v>
      </c>
      <c r="D21" s="2">
        <f>IF(MATCH(B21,ABC,0)+$D$4&gt;=40,MATCH(B21,ABC,0)+$D$4-40,MATCH(B21,ABC,0)+$D$4)</f>
        <v>9</v>
      </c>
      <c r="E21" s="2" t="str">
        <f>INDEX(ABC,D21)</f>
        <v>Б</v>
      </c>
      <c r="F21" s="1" t="str">
        <f>F20&amp;E21</f>
        <v>ЗЕОА:РНОАЫЙМЕХ,Б</v>
      </c>
    </row>
    <row r="22" ht="17.25">
      <c r="A22" s="1">
        <v>17</v>
      </c>
      <c r="B22" s="1" t="str">
        <f>MID(B$3,A22,1)</f>
        <v>”</v>
      </c>
      <c r="C22" s="2">
        <f t="shared" si="1"/>
        <v>5</v>
      </c>
      <c r="D22" s="2">
        <f>IF(MATCH(B22,ABC,0)+$D$4&gt;=40,MATCH(B22,ABC,0)+$D$4-40,MATCH(B22,ABC,0)+$D$4)</f>
        <v>10</v>
      </c>
      <c r="E22" s="2" t="str">
        <f>INDEX(ABC,D22)</f>
        <v>В</v>
      </c>
      <c r="F22" s="1" t="str">
        <f>F21&amp;E22</f>
        <v>ЗЕОА:РНОАЫЙМЕХ,БВ</v>
      </c>
    </row>
    <row r="23" ht="17.25">
      <c r="A23" s="1">
        <v>18</v>
      </c>
      <c r="B23" s="1" t="str">
        <f>MID(B$3,A23,1)</f>
        <v>П</v>
      </c>
      <c r="C23" s="2">
        <f t="shared" si="1"/>
        <v>24</v>
      </c>
      <c r="D23" s="2">
        <f>IF(MATCH(B23,ABC,0)+$D$4&gt;=40,MATCH(B23,ABC,0)+$D$4-40,MATCH(B23,ABC,0)+$D$4)</f>
        <v>29</v>
      </c>
      <c r="E23" s="2" t="str">
        <f>INDEX(ABC,D23)</f>
        <v>Ф</v>
      </c>
      <c r="F23" s="1" t="str">
        <f>F22&amp;E23</f>
        <v>ЗЕОА:РНОАЫЙМЕХ,БВФ</v>
      </c>
    </row>
    <row r="24" ht="17.25">
      <c r="A24" s="1">
        <v>19</v>
      </c>
      <c r="B24" s="1" t="str">
        <f>MID(B$3,A24,1)</f>
        <v>Р</v>
      </c>
      <c r="C24" s="2">
        <f t="shared" si="1"/>
        <v>25</v>
      </c>
      <c r="D24" s="2">
        <f>IF(MATCH(B24,ABC,0)+$D$4&gt;=40,MATCH(B24,ABC,0)+$D$4-40,MATCH(B24,ABC,0)+$D$4)</f>
        <v>30</v>
      </c>
      <c r="E24" s="2" t="str">
        <f>INDEX(ABC,D24)</f>
        <v>Х</v>
      </c>
      <c r="F24" s="1" t="str">
        <f>F23&amp;E24</f>
        <v>ЗЕОА:РНОАЫЙМЕХ,БВФХ</v>
      </c>
    </row>
    <row r="25" ht="17.25">
      <c r="A25" s="1">
        <v>20</v>
      </c>
      <c r="B25" s="1" t="str">
        <f>MID(B$3,A25,1)</f>
        <v>И</v>
      </c>
      <c r="C25" s="2">
        <f t="shared" si="1"/>
        <v>17</v>
      </c>
      <c r="D25" s="2">
        <f>IF(MATCH(B25,ABC,0)+$D$4&gt;=40,MATCH(B25,ABC,0)+$D$4-40,MATCH(B25,ABC,0)+$D$4)</f>
        <v>22</v>
      </c>
      <c r="E25" s="2" t="str">
        <f>INDEX(ABC,D25)</f>
        <v>Н</v>
      </c>
      <c r="F25" s="1" t="str">
        <f>F24&amp;E25</f>
        <v>ЗЕОА:РНОАЫЙМЕХ,БВФХН</v>
      </c>
    </row>
    <row r="26" ht="17.25">
      <c r="A26" s="1">
        <v>21</v>
      </c>
      <c r="B26" s="1" t="str">
        <f>MID(B$3,A26,1)</f>
        <v>Ш</v>
      </c>
      <c r="C26" s="2">
        <f t="shared" si="1"/>
        <v>33</v>
      </c>
      <c r="D26" s="2">
        <f>IF(MATCH(B26,ABC,0)+$D$4&gt;=40,MATCH(B26,ABC,0)+$D$4-40,MATCH(B26,ABC,0)+$D$4)</f>
        <v>38</v>
      </c>
      <c r="E26" s="2" t="str">
        <f>INDEX(ABC,D26)</f>
        <v>Э</v>
      </c>
      <c r="F26" s="1" t="str">
        <f>F25&amp;E26</f>
        <v>ЗЕОА:РНОАЫЙМЕХ,БВФХНЭ</v>
      </c>
    </row>
    <row r="27" ht="17.25">
      <c r="A27" s="1">
        <v>22</v>
      </c>
      <c r="B27" s="1" t="str">
        <f>MID(B$3,A27,1)</f>
        <v>Е</v>
      </c>
      <c r="C27" s="2">
        <f t="shared" si="1"/>
        <v>13</v>
      </c>
      <c r="D27" s="2">
        <f>IF(MATCH(B27,ABC,0)+$D$4&gt;=40,MATCH(B27,ABC,0)+$D$4-40,MATCH(B27,ABC,0)+$D$4)</f>
        <v>18</v>
      </c>
      <c r="E27" s="2" t="str">
        <f>INDEX(ABC,D27)</f>
        <v>Й</v>
      </c>
      <c r="F27" s="1" t="str">
        <f>F26&amp;E27</f>
        <v>ЗЕОА:РНОАЫЙМЕХ,БВФХНЭЙ</v>
      </c>
    </row>
    <row r="28" ht="17.25">
      <c r="A28" s="1">
        <v>23</v>
      </c>
      <c r="B28" s="1" t="str">
        <f>MID(B$3,A28,1)</f>
        <v>Л</v>
      </c>
      <c r="C28" s="2">
        <f t="shared" si="1"/>
        <v>20</v>
      </c>
      <c r="D28" s="2">
        <f>IF(MATCH(B28,ABC,0)+$D$4&gt;=40,MATCH(B28,ABC,0)+$D$4-40,MATCH(B28,ABC,0)+$D$4)</f>
        <v>25</v>
      </c>
      <c r="E28" s="2" t="str">
        <f>INDEX(ABC,D28)</f>
        <v>Р</v>
      </c>
      <c r="F28" s="1" t="str">
        <f>F27&amp;E28</f>
        <v>ЗЕОА:РНОАЫЙМЕХ,БВФХНЭЙР</v>
      </c>
    </row>
    <row r="29" ht="17.25">
      <c r="A29" s="1">
        <v>24</v>
      </c>
      <c r="B29" s="1" t="str">
        <f>MID(B$3,A29,1)</f>
        <v>,</v>
      </c>
      <c r="C29" s="2">
        <f t="shared" si="1"/>
        <v>2</v>
      </c>
      <c r="D29" s="2">
        <f>IF(MATCH(B29,ABC,0)+$D$4&gt;=40,MATCH(B29,ABC,0)+$D$4-40,MATCH(B29,ABC,0)+$D$4)</f>
        <v>7</v>
      </c>
      <c r="E29" s="2" t="str">
        <f>INDEX(ABC,D29)</f>
        <v>;</v>
      </c>
      <c r="F29" s="1" t="str">
        <f>F28&amp;E29</f>
        <v>ЗЕОА:РНОАЫЙМЕХ,БВФХНЭЙР;</v>
      </c>
    </row>
    <row r="30" ht="17.25">
      <c r="A30" s="1">
        <v>25</v>
      </c>
      <c r="B30" s="1" t="str">
        <f>MID(B$3,A30,1)</f>
        <v xml:space="preserve"> </v>
      </c>
      <c r="C30" s="2">
        <f t="shared" si="1"/>
        <v>3</v>
      </c>
      <c r="D30" s="2">
        <f>IF(MATCH(B30,ABC,0)+$D$4&gt;=40,MATCH(B30,ABC,0)+$D$4-40,MATCH(B30,ABC,0)+$D$4)</f>
        <v>8</v>
      </c>
      <c r="E30" s="2" t="str">
        <f>INDEX(ABC,D30)</f>
        <v>А</v>
      </c>
      <c r="F30" s="1" t="str">
        <f>F29&amp;E30</f>
        <v>ЗЕОА:РНОАЫЙМЕХ,БВФХНЭЙР;А</v>
      </c>
    </row>
    <row r="31" ht="17.25">
      <c r="A31" s="1">
        <v>26</v>
      </c>
      <c r="B31" s="1" t="str">
        <f>MID(B$3,A31,1)</f>
        <v>У</v>
      </c>
      <c r="C31" s="2">
        <f t="shared" si="1"/>
        <v>28</v>
      </c>
      <c r="D31" s="2">
        <f>IF(MATCH(B31,ABC,0)+$D$4&gt;=40,MATCH(B31,ABC,0)+$D$4-40,MATCH(B31,ABC,0)+$D$4)</f>
        <v>33</v>
      </c>
      <c r="E31" s="2" t="str">
        <f>INDEX(ABC,D31)</f>
        <v>Ш</v>
      </c>
      <c r="F31" s="1" t="str">
        <f>F30&amp;E31</f>
        <v>ЗЕОА:РНОАЫЙМЕХ,БВФХНЭЙР;АШ</v>
      </c>
    </row>
    <row r="32" ht="17.25">
      <c r="A32" s="1">
        <v>27</v>
      </c>
      <c r="B32" s="1" t="str">
        <f>MID(B$3,A32,1)</f>
        <v>В</v>
      </c>
      <c r="C32" s="2">
        <f t="shared" si="1"/>
        <v>10</v>
      </c>
      <c r="D32" s="2">
        <f>IF(MATCH(B32,ABC,0)+$D$4&gt;=40,MATCH(B32,ABC,0)+$D$4-40,MATCH(B32,ABC,0)+$D$4)</f>
        <v>15</v>
      </c>
      <c r="E32" s="2" t="str">
        <f>INDEX(ABC,D32)</f>
        <v>Ж</v>
      </c>
      <c r="F32" s="1" t="str">
        <f>F31&amp;E32</f>
        <v>ЗЕОА:РНОАЫЙМЕХ,БВФХНЭЙР;АШЖ</v>
      </c>
    </row>
    <row r="33" ht="17.25">
      <c r="A33" s="1">
        <v>28</v>
      </c>
      <c r="B33" s="1" t="str">
        <f>MID(B$3,A33,1)</f>
        <v>И</v>
      </c>
      <c r="C33" s="2">
        <f t="shared" si="1"/>
        <v>17</v>
      </c>
      <c r="D33" s="2">
        <f>IF(MATCH(B33,ABC,0)+$D$4&gt;=40,MATCH(B33,ABC,0)+$D$4-40,MATCH(B33,ABC,0)+$D$4)</f>
        <v>22</v>
      </c>
      <c r="E33" s="2" t="str">
        <f>INDEX(ABC,D33)</f>
        <v>Н</v>
      </c>
      <c r="F33" s="1" t="str">
        <f>F32&amp;E33</f>
        <v>ЗЕОА:РНОАЫЙМЕХ,БВФХНЭЙР;АШЖН</v>
      </c>
    </row>
    <row r="34" ht="17.25">
      <c r="A34" s="1">
        <v>29</v>
      </c>
      <c r="B34" s="1" t="str">
        <f>MID(B$3,A34,1)</f>
        <v>Д</v>
      </c>
      <c r="C34" s="2">
        <f t="shared" si="1"/>
        <v>12</v>
      </c>
      <c r="D34" s="2">
        <f>IF(MATCH(B34,ABC,0)+$D$4&gt;=40,MATCH(B34,ABC,0)+$D$4-40,MATCH(B34,ABC,0)+$D$4)</f>
        <v>17</v>
      </c>
      <c r="E34" s="2" t="str">
        <f>INDEX(ABC,D34)</f>
        <v>И</v>
      </c>
      <c r="F34" s="1" t="str">
        <f>F33&amp;E34</f>
        <v>ЗЕОА:РНОАЫЙМЕХ,БВФХНЭЙР;АШЖНИ</v>
      </c>
    </row>
    <row r="35" ht="17.25">
      <c r="A35" s="1">
        <v>30</v>
      </c>
      <c r="B35" s="1" t="str">
        <f>MID(B$3,A35,1)</f>
        <v>Е</v>
      </c>
      <c r="C35" s="2">
        <f t="shared" si="1"/>
        <v>13</v>
      </c>
      <c r="D35" s="2">
        <f>IF(MATCH(B35,ABC,0)+$D$4&gt;=40,MATCH(B35,ABC,0)+$D$4-40,MATCH(B35,ABC,0)+$D$4)</f>
        <v>18</v>
      </c>
      <c r="E35" s="2" t="str">
        <f>INDEX(ABC,D35)</f>
        <v>Й</v>
      </c>
      <c r="F35" s="1" t="str">
        <f>F34&amp;E35</f>
        <v>ЗЕОА:РНОАЫЙМЕХ,БВФХНЭЙР;АШЖНИЙ</v>
      </c>
    </row>
    <row r="36" ht="17.25">
      <c r="A36" s="1">
        <v>31</v>
      </c>
      <c r="B36" s="1" t="str">
        <f>MID(B$3,A36,1)</f>
        <v>Л</v>
      </c>
      <c r="C36" s="2">
        <f t="shared" si="1"/>
        <v>20</v>
      </c>
      <c r="D36" s="2">
        <f>IF(MATCH(B36,ABC,0)+$D$4&gt;=40,MATCH(B36,ABC,0)+$D$4-40,MATCH(B36,ABC,0)+$D$4)</f>
        <v>25</v>
      </c>
      <c r="E36" s="2" t="str">
        <f>INDEX(ABC,D36)</f>
        <v>Р</v>
      </c>
      <c r="F36" s="1" t="str">
        <f>F35&amp;E36</f>
        <v>ЗЕОА:РНОАЫЙМЕХ,БВФХНЭЙР;АШЖНИЙР</v>
      </c>
    </row>
    <row r="37" ht="17.25">
      <c r="A37" s="1">
        <v>32</v>
      </c>
      <c r="B37" s="1" t="str">
        <f>MID(B$3,A37,1)</f>
        <v>,</v>
      </c>
      <c r="C37" s="2">
        <f t="shared" si="1"/>
        <v>2</v>
      </c>
      <c r="D37" s="2">
        <f>IF(MATCH(B37,ABC,0)+$D$4&gt;=40,MATCH(B37,ABC,0)+$D$4-40,MATCH(B37,ABC,0)+$D$4)</f>
        <v>7</v>
      </c>
      <c r="E37" s="2" t="str">
        <f>INDEX(ABC,D37)</f>
        <v>;</v>
      </c>
      <c r="F37" s="1" t="str">
        <f>F36&amp;E37</f>
        <v>ЗЕОА:РНОАЫЙМЕХ,БВФХНЭЙР;АШЖНИЙР;</v>
      </c>
    </row>
    <row r="38" ht="17.25">
      <c r="A38" s="1">
        <v>33</v>
      </c>
      <c r="B38" s="1" t="str">
        <f>MID(B$3,A38,1)</f>
        <v xml:space="preserve"> </v>
      </c>
      <c r="C38" s="2">
        <f t="shared" si="1"/>
        <v>3</v>
      </c>
      <c r="D38" s="2">
        <f>IF(MATCH(B38,ABC,0)+$D$4&gt;=40,MATCH(B38,ABC,0)+$D$4-40,MATCH(B38,ABC,0)+$D$4)</f>
        <v>8</v>
      </c>
      <c r="E38" s="2" t="str">
        <f>INDEX(ABC,D38)</f>
        <v>А</v>
      </c>
      <c r="F38" s="1" t="str">
        <f>F37&amp;E38</f>
        <v>ЗЕОА:РНОАЫЙМЕХ,БВФХНЭЙР;АШЖНИЙР;А</v>
      </c>
    </row>
    <row r="39" ht="17.25">
      <c r="A39" s="1">
        <v>34</v>
      </c>
      <c r="B39" s="1" t="str">
        <f>MID(B$3,A39,1)</f>
        <v>П</v>
      </c>
      <c r="C39" s="2">
        <f t="shared" si="1"/>
        <v>24</v>
      </c>
      <c r="D39" s="2">
        <f>IF(MATCH(B39,ABC,0)+$D$4&gt;=40,MATCH(B39,ABC,0)+$D$4-40,MATCH(B39,ABC,0)+$D$4)</f>
        <v>29</v>
      </c>
      <c r="E39" s="2" t="str">
        <f>INDEX(ABC,D39)</f>
        <v>Ф</v>
      </c>
      <c r="F39" s="1" t="str">
        <f>F38&amp;E39</f>
        <v>ЗЕОА:РНОАЫЙМЕХ,БВФХНЭЙР;АШЖНИЙР;АФ</v>
      </c>
    </row>
    <row r="40" ht="17.25">
      <c r="A40" s="1">
        <v>35</v>
      </c>
      <c r="B40" s="1" t="str">
        <f>MID(B$3,A40,1)</f>
        <v>О</v>
      </c>
      <c r="C40" s="2">
        <f t="shared" si="1"/>
        <v>23</v>
      </c>
      <c r="D40" s="2">
        <f>IF(MATCH(B40,ABC,0)+$D$4&gt;=40,MATCH(B40,ABC,0)+$D$4-40,MATCH(B40,ABC,0)+$D$4)</f>
        <v>28</v>
      </c>
      <c r="E40" s="2" t="str">
        <f>INDEX(ABC,D40)</f>
        <v>У</v>
      </c>
      <c r="F40" s="1" t="str">
        <f>F39&amp;E40</f>
        <v>ЗЕОА:РНОАЫЙМЕХ,БВФХНЭЙР;АШЖНИЙР;АФУ</v>
      </c>
    </row>
    <row r="41" ht="17.25">
      <c r="A41" s="1">
        <v>36</v>
      </c>
      <c r="B41" s="1" t="str">
        <f>MID(B$3,A41,1)</f>
        <v>Б</v>
      </c>
      <c r="C41" s="2">
        <f t="shared" si="1"/>
        <v>9</v>
      </c>
      <c r="D41" s="2">
        <f>IF(MATCH(B41,ABC,0)+$D$4&gt;=40,MATCH(B41,ABC,0)+$D$4-40,MATCH(B41,ABC,0)+$D$4)</f>
        <v>14</v>
      </c>
      <c r="E41" s="2" t="str">
        <f>INDEX(ABC,D41)</f>
        <v>-</v>
      </c>
      <c r="F41" s="1" t="str">
        <f>F40&amp;E41</f>
        <v>ЗЕОА:РНОАЫЙМЕХ,БВФХНЭЙР;АШЖНИЙР;АФУ-</v>
      </c>
    </row>
    <row r="42" ht="17.25">
      <c r="A42" s="1">
        <v>37</v>
      </c>
      <c r="B42" s="1" t="str">
        <f>MID(B$3,A42,1)</f>
        <v>Е</v>
      </c>
      <c r="C42" s="2">
        <f t="shared" si="1"/>
        <v>13</v>
      </c>
      <c r="D42" s="2">
        <f>IF(MATCH(B42,ABC,0)+$D$4&gt;=40,MATCH(B42,ABC,0)+$D$4-40,MATCH(B42,ABC,0)+$D$4)</f>
        <v>18</v>
      </c>
      <c r="E42" s="2" t="str">
        <f>INDEX(ABC,D42)</f>
        <v>Й</v>
      </c>
      <c r="F42" s="1" t="str">
        <f>F41&amp;E42</f>
        <v>ЗЕОА:РНОАЫЙМЕХ,БВФХНЭЙР;АШЖНИЙР;АФУ-Й</v>
      </c>
    </row>
    <row r="43" ht="17.25">
      <c r="A43" s="1">
        <v>38</v>
      </c>
      <c r="B43" s="1" t="str">
        <f>MID(B$3,A43,1)</f>
        <v>Д</v>
      </c>
      <c r="C43" s="2">
        <f t="shared" si="1"/>
        <v>12</v>
      </c>
      <c r="D43" s="2">
        <f>IF(MATCH(B43,ABC,0)+$D$4&gt;=40,MATCH(B43,ABC,0)+$D$4-40,MATCH(B43,ABC,0)+$D$4)</f>
        <v>17</v>
      </c>
      <c r="E43" s="2" t="str">
        <f>INDEX(ABC,D43)</f>
        <v>И</v>
      </c>
      <c r="F43" s="1" t="str">
        <f>F42&amp;E43</f>
        <v>ЗЕОА:РНОАЫЙМЕХ,БВФХНЭЙР;АШЖНИЙР;АФУ-ЙИ</v>
      </c>
    </row>
    <row r="44" ht="17.25">
      <c r="A44" s="1">
        <v>39</v>
      </c>
      <c r="B44" s="1" t="str">
        <f>MID(B$3,A44,1)</f>
        <v>И</v>
      </c>
      <c r="C44" s="2">
        <f t="shared" si="1"/>
        <v>17</v>
      </c>
      <c r="D44" s="2">
        <f>IF(MATCH(B44,ABC,0)+$D$4&gt;=40,MATCH(B44,ABC,0)+$D$4-40,MATCH(B44,ABC,0)+$D$4)</f>
        <v>22</v>
      </c>
      <c r="E44" s="2" t="str">
        <f>INDEX(ABC,D44)</f>
        <v>Н</v>
      </c>
      <c r="F44" s="1" t="str">
        <f>F43&amp;E44</f>
        <v>ЗЕОА:РНОАЫЙМЕХ,БВФХНЭЙР;АШЖНИЙР;АФУ-ЙИН</v>
      </c>
    </row>
    <row r="45" ht="17.25">
      <c r="A45" s="1">
        <v>40</v>
      </c>
      <c r="B45" s="1" t="str">
        <f>MID(B$3,A45,1)</f>
        <v>Л</v>
      </c>
      <c r="C45" s="2">
        <f t="shared" si="1"/>
        <v>20</v>
      </c>
      <c r="D45" s="2">
        <f>IF(MATCH(B45,ABC,0)+$D$4&gt;=40,MATCH(B45,ABC,0)+$D$4-40,MATCH(B45,ABC,0)+$D$4)</f>
        <v>25</v>
      </c>
      <c r="E45" s="2" t="str">
        <f>INDEX(ABC,D45)</f>
        <v>Р</v>
      </c>
      <c r="F45" s="1" t="str">
        <f>F44&amp;E45</f>
        <v>ЗЕОА:РНОАЫЙМЕХ,БВФХНЭЙР;АШЖНИЙР;АФУ-ЙИНР</v>
      </c>
    </row>
    <row r="46" ht="17.25">
      <c r="A46" s="1">
        <v>41</v>
      </c>
      <c r="B46" s="1" t="str">
        <f>MID(B$3,A46,1)</f>
        <v>!</v>
      </c>
      <c r="C46" s="2">
        <f t="shared" si="1"/>
        <v>6</v>
      </c>
      <c r="D46" s="2">
        <f>IF(MATCH(B46,ABC,0)+$D$4&gt;=40,MATCH(B46,ABC,0)+$D$4-40,MATCH(B46,ABC,0)+$D$4)</f>
        <v>11</v>
      </c>
      <c r="E46" s="2" t="str">
        <f>INDEX(ABC,D46)</f>
        <v>Г</v>
      </c>
      <c r="F46" s="1" t="str">
        <f>F45&amp;E46</f>
        <v>ЗЕОА:РНОАЫЙМЕХ,БВФХНЭЙР;АШЖНИЙР;АФУ-ЙИНРГ</v>
      </c>
    </row>
    <row r="47" ht="17.25">
      <c r="A47" s="1">
        <v>42</v>
      </c>
      <c r="B47" s="1" t="str">
        <f>MID(B$3,A47,1)</f>
        <v>”</v>
      </c>
      <c r="C47" s="2">
        <f t="shared" si="1"/>
        <v>5</v>
      </c>
      <c r="D47" s="2">
        <f>IF(MATCH(B47,ABC,0)+$D$4&gt;=40,MATCH(B47,ABC,0)+$D$4-40,MATCH(B47,ABC,0)+$D$4)</f>
        <v>10</v>
      </c>
      <c r="E47" s="2" t="str">
        <f>INDEX(ABC,D47)</f>
        <v>В</v>
      </c>
      <c r="F47" s="1" t="str">
        <f>F46&amp;E47</f>
        <v>ЗЕОА:РНОАЫЙМЕХ,БВФХНЭЙР;АШЖНИЙР;АФУ-ЙИНРГВ</v>
      </c>
    </row>
    <row r="48" ht="17.25">
      <c r="A48" s="1"/>
      <c r="B48" s="1"/>
      <c r="C48" s="2"/>
    </row>
    <row r="50" ht="15">
      <c r="F50" s="1" t="s">
        <v>1</v>
      </c>
    </row>
    <row r="52" ht="15">
      <c r="F52" s="1"/>
    </row>
    <row r="54" ht="15">
      <c r="F54" s="1" t="b">
        <f>F50=F47</f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defaultRowHeight="15"/>
  <sheetData>
    <row r="1" ht="15.75">
      <c r="A1" s="1" t="s">
        <v>2</v>
      </c>
    </row>
    <row r="2" ht="15.75">
      <c r="A2" s="1" t="s">
        <v>3</v>
      </c>
    </row>
    <row r="3" ht="15.75">
      <c r="A3" s="1" t="s">
        <v>4</v>
      </c>
    </row>
    <row r="4" ht="15.75">
      <c r="A4" s="1" t="s">
        <v>5</v>
      </c>
    </row>
    <row r="5" ht="15.75">
      <c r="A5" s="1" t="s">
        <v>6</v>
      </c>
    </row>
    <row r="6" ht="15.75">
      <c r="A6" s="1" t="s">
        <v>7</v>
      </c>
    </row>
    <row r="7" ht="15.75">
      <c r="A7" s="1" t="s">
        <v>8</v>
      </c>
    </row>
    <row r="8" ht="15.75">
      <c r="A8" s="1" t="s">
        <v>9</v>
      </c>
    </row>
    <row r="9" ht="15.75">
      <c r="A9" s="1" t="s">
        <v>10</v>
      </c>
    </row>
    <row r="10" ht="15.75">
      <c r="A10" s="1" t="s">
        <v>11</v>
      </c>
    </row>
    <row r="11" ht="15.75">
      <c r="A11" s="1" t="s">
        <v>12</v>
      </c>
    </row>
    <row r="12" ht="15.75">
      <c r="A12" s="1" t="s">
        <v>13</v>
      </c>
    </row>
    <row r="13" ht="15.75">
      <c r="A13" s="1" t="s">
        <v>14</v>
      </c>
    </row>
    <row r="14" ht="15.75">
      <c r="A14" s="1" t="s">
        <v>15</v>
      </c>
    </row>
    <row r="15" ht="15.75">
      <c r="A15" s="1" t="s">
        <v>16</v>
      </c>
    </row>
    <row r="16" ht="15.75">
      <c r="A16" s="1" t="s">
        <v>17</v>
      </c>
    </row>
    <row r="17" ht="15.75">
      <c r="A17" s="1" t="s">
        <v>18</v>
      </c>
    </row>
    <row r="18" ht="15.75">
      <c r="A18" s="1" t="s">
        <v>19</v>
      </c>
    </row>
    <row r="19" ht="15.75">
      <c r="A19" s="1" t="s">
        <v>20</v>
      </c>
    </row>
    <row r="20" ht="15.75">
      <c r="A20" s="1" t="s">
        <v>21</v>
      </c>
    </row>
    <row r="21" ht="15.75">
      <c r="A21" s="1" t="s">
        <v>22</v>
      </c>
    </row>
    <row r="22" ht="15.75">
      <c r="A22" s="1" t="s">
        <v>23</v>
      </c>
    </row>
    <row r="23" ht="15.75">
      <c r="A23" s="1" t="s">
        <v>24</v>
      </c>
    </row>
    <row r="24" ht="15.75">
      <c r="A24" s="1" t="s">
        <v>25</v>
      </c>
    </row>
    <row r="25" ht="15.75">
      <c r="A25" s="1" t="s">
        <v>26</v>
      </c>
    </row>
    <row r="26" ht="15.75">
      <c r="A26" s="1" t="s">
        <v>27</v>
      </c>
    </row>
    <row r="27" ht="15.75">
      <c r="A27" s="1" t="s">
        <v>28</v>
      </c>
    </row>
    <row r="28" ht="15.75">
      <c r="A28" s="1" t="s">
        <v>29</v>
      </c>
    </row>
    <row r="29" ht="15.75">
      <c r="A29" s="1" t="s">
        <v>30</v>
      </c>
    </row>
    <row r="30" ht="15.75">
      <c r="A30" s="1" t="s">
        <v>31</v>
      </c>
    </row>
    <row r="31" ht="15.75">
      <c r="A31" s="1" t="s">
        <v>32</v>
      </c>
    </row>
    <row r="32" ht="15.75">
      <c r="A32" s="1" t="s">
        <v>33</v>
      </c>
    </row>
    <row r="33" ht="15.75">
      <c r="A33" s="1" t="s">
        <v>34</v>
      </c>
    </row>
    <row r="34" ht="15.75">
      <c r="A34" s="1" t="s">
        <v>35</v>
      </c>
    </row>
    <row r="35" ht="15.75">
      <c r="A35" s="1" t="s">
        <v>36</v>
      </c>
    </row>
    <row r="36" ht="15.75">
      <c r="A36" s="1" t="s">
        <v>37</v>
      </c>
    </row>
    <row r="37" ht="15.75">
      <c r="A37" s="1" t="s">
        <v>38</v>
      </c>
    </row>
    <row r="38" ht="15.75">
      <c r="A38" s="1" t="s">
        <v>39</v>
      </c>
    </row>
    <row r="39" ht="15.75">
      <c r="A39" s="1" t="s">
        <v>40</v>
      </c>
    </row>
    <row r="40" ht="15.75">
      <c r="A40" s="1" t="s">
        <v>41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F6" activeCellId="0" sqref="F6"/>
    </sheetView>
  </sheetViews>
  <sheetFormatPr defaultRowHeight="15"/>
  <sheetData>
    <row r="1" ht="15.75">
      <c r="A1" s="1"/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5.75">
      <c r="A3" s="1"/>
      <c r="B3" s="1" t="str">
        <f>UPPER(B1)</f>
        <v>ЗЕОА:РНОАЫЙМЕХ,БВФХНЭЙР;АШЖНИЙР;АФУ-ЙИНРГВ</v>
      </c>
      <c r="C3" s="1"/>
      <c r="D3" s="1">
        <f>LEN(B3)</f>
        <v>42</v>
      </c>
      <c r="E3" s="1"/>
      <c r="F3" s="1"/>
      <c r="G3" s="1"/>
      <c r="H3" s="1"/>
      <c r="I3" s="1"/>
      <c r="J3" s="1"/>
      <c r="K3" s="1"/>
      <c r="L3" s="1"/>
    </row>
    <row r="4" ht="15.75">
      <c r="A4" s="1"/>
      <c r="B4" s="1"/>
      <c r="C4" s="1"/>
      <c r="D4" s="1">
        <v>5</v>
      </c>
      <c r="E4" s="1"/>
      <c r="F4" s="1"/>
      <c r="G4" s="1"/>
      <c r="H4" s="1"/>
      <c r="I4" s="1"/>
      <c r="J4" s="1"/>
      <c r="K4" s="1"/>
      <c r="L4" s="1"/>
    </row>
    <row r="5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8.75">
      <c r="A6" s="1">
        <v>1</v>
      </c>
      <c r="B6" s="1" t="str">
        <f t="shared" ref="B6:B47" si="2">MID(B$3,A6,1)</f>
        <v>З</v>
      </c>
      <c r="C6" s="2">
        <f t="shared" ref="C6:C9" si="3">MATCH(B6,ABC,0)</f>
        <v>16</v>
      </c>
      <c r="D6" s="2">
        <f>IF(MATCH(B6,ABC,0)-$D$4&lt;=0,MATCH(B6,ABC,0)-$D$4+40,MATCH(B6,ABC,0)-$D$4)</f>
        <v>11</v>
      </c>
      <c r="E6" s="2" t="str">
        <f>INDEX(ABC,D6)</f>
        <v>Г</v>
      </c>
      <c r="F6" s="2" t="str">
        <f>E6</f>
        <v>Г</v>
      </c>
      <c r="G6" s="1"/>
      <c r="H6" s="1"/>
      <c r="I6" s="1"/>
      <c r="J6" s="1"/>
      <c r="K6" s="1"/>
      <c r="L6" s="1"/>
    </row>
    <row r="7" ht="18.75">
      <c r="A7" s="1">
        <v>2</v>
      </c>
      <c r="B7" s="1" t="str">
        <f t="shared" si="2"/>
        <v>Е</v>
      </c>
      <c r="C7" s="2">
        <f t="shared" si="3"/>
        <v>13</v>
      </c>
      <c r="D7" s="2">
        <f>IF(MATCH(B7,ABC,0)-$D$4&lt;=0,MATCH(B7,ABC,0)-$D$4+40,MATCH(B7,ABC,0)-$D$4)</f>
        <v>8</v>
      </c>
      <c r="E7" s="2" t="str">
        <f>INDEX(ABC,D7)</f>
        <v>А</v>
      </c>
      <c r="F7" s="1" t="str">
        <f t="shared" ref="F7:F47" si="4">F6&amp;E7</f>
        <v>ГА</v>
      </c>
      <c r="G7" s="1"/>
      <c r="H7" s="1"/>
      <c r="I7" s="1"/>
      <c r="J7" s="1"/>
      <c r="K7" s="1"/>
      <c r="L7" s="1"/>
    </row>
    <row r="8" ht="18.75">
      <c r="A8" s="1">
        <v>3</v>
      </c>
      <c r="B8" s="1" t="str">
        <f t="shared" si="2"/>
        <v>О</v>
      </c>
      <c r="C8" s="2">
        <f t="shared" si="3"/>
        <v>23</v>
      </c>
      <c r="D8" s="2">
        <f>IF(MATCH(B8,ABC,0)-$D$4&lt;=0,MATCH(B8,ABC,0)-$D$4+40,MATCH(B8,ABC,0)-$D$4)</f>
        <v>18</v>
      </c>
      <c r="E8" s="2" t="str">
        <f>INDEX(ABC,D8)</f>
        <v>Й</v>
      </c>
      <c r="F8" s="1" t="str">
        <f t="shared" si="4"/>
        <v>ГАЙ</v>
      </c>
      <c r="G8" s="1"/>
      <c r="H8" s="1"/>
      <c r="I8" s="1"/>
      <c r="J8" s="1"/>
      <c r="K8" s="1"/>
      <c r="L8" s="1"/>
    </row>
    <row r="9" ht="18.75">
      <c r="A9" s="1">
        <v>4</v>
      </c>
      <c r="B9" s="1" t="str">
        <f t="shared" si="2"/>
        <v>А</v>
      </c>
      <c r="C9" s="2">
        <f t="shared" si="3"/>
        <v>8</v>
      </c>
      <c r="D9" s="2">
        <f>IF(MATCH(B9,ABC,0)-$D$4&lt;=0,MATCH(B9,ABC,0)-$D$4+40,MATCH(B9,ABC,0)-$D$4)</f>
        <v>3</v>
      </c>
      <c r="E9" s="2" t="str">
        <f>INDEX(ABC,D9)</f>
        <v xml:space="preserve"> </v>
      </c>
      <c r="F9" s="1" t="str">
        <f t="shared" si="4"/>
        <v xml:space="preserve">ГАЙ </v>
      </c>
      <c r="G9" s="1"/>
      <c r="H9" s="1"/>
      <c r="I9" s="1"/>
      <c r="J9" s="1"/>
      <c r="K9" s="1"/>
      <c r="L9" s="1"/>
    </row>
    <row r="10" ht="18.75">
      <c r="A10" s="1">
        <v>5</v>
      </c>
      <c r="B10" s="1" t="str">
        <f t="shared" si="2"/>
        <v>:</v>
      </c>
      <c r="C10" s="2">
        <f t="shared" ref="C10:C47" si="5">MATCH(B10,ABC,0)</f>
        <v>4</v>
      </c>
      <c r="D10" s="2">
        <f>IF(MATCH(B10,ABC,0)-$D$4&lt;=0,MATCH(B10,ABC,0)-$D$4+40,MATCH(B10,ABC,0)-$D$4)</f>
        <v>39</v>
      </c>
      <c r="E10" s="2" t="str">
        <f>INDEX(ABC,D10)</f>
        <v>Ю</v>
      </c>
      <c r="F10" s="1" t="str">
        <f t="shared" si="4"/>
        <v xml:space="preserve">ГАЙ Ю</v>
      </c>
      <c r="G10" s="1"/>
      <c r="H10" s="1"/>
      <c r="I10" s="1"/>
      <c r="J10" s="1"/>
      <c r="K10" s="1"/>
      <c r="L10" s="1"/>
    </row>
    <row r="11" ht="18.75">
      <c r="A11" s="1">
        <v>6</v>
      </c>
      <c r="B11" s="1" t="str">
        <f t="shared" si="2"/>
        <v>Р</v>
      </c>
      <c r="C11" s="2">
        <f t="shared" si="5"/>
        <v>25</v>
      </c>
      <c r="D11" s="2">
        <f>IF(MATCH(B11,ABC,0)-$D$4&lt;=0,MATCH(B11,ABC,0)-$D$4+40,MATCH(B11,ABC,0)-$D$4)</f>
        <v>20</v>
      </c>
      <c r="E11" s="2" t="str">
        <f>INDEX(ABC,D11)</f>
        <v>Л</v>
      </c>
      <c r="F11" s="1" t="str">
        <f t="shared" si="4"/>
        <v xml:space="preserve">ГАЙ ЮЛ</v>
      </c>
      <c r="G11" s="1"/>
      <c r="H11" s="1"/>
      <c r="I11" s="1"/>
      <c r="J11" s="1"/>
      <c r="K11" s="1"/>
      <c r="L11" s="1"/>
    </row>
    <row r="12" ht="18.75">
      <c r="A12" s="1">
        <v>7</v>
      </c>
      <c r="B12" s="1" t="str">
        <f t="shared" si="2"/>
        <v>Н</v>
      </c>
      <c r="C12" s="2">
        <f t="shared" si="5"/>
        <v>22</v>
      </c>
      <c r="D12" s="2">
        <f>IF(MATCH(B12,ABC,0)-$D$4&lt;=0,MATCH(B12,ABC,0)-$D$4+40,MATCH(B12,ABC,0)-$D$4)</f>
        <v>17</v>
      </c>
      <c r="E12" s="2" t="str">
        <f>INDEX(ABC,D12)</f>
        <v>И</v>
      </c>
      <c r="F12" s="1" t="str">
        <f t="shared" si="4"/>
        <v xml:space="preserve">ГАЙ ЮЛИ</v>
      </c>
      <c r="G12" s="1"/>
      <c r="H12" s="1"/>
      <c r="I12" s="1"/>
      <c r="J12" s="1"/>
      <c r="K12" s="1"/>
      <c r="L12" s="1"/>
    </row>
    <row r="13" ht="18.75">
      <c r="A13" s="1">
        <v>8</v>
      </c>
      <c r="B13" s="1" t="str">
        <f t="shared" si="2"/>
        <v>О</v>
      </c>
      <c r="C13" s="2">
        <f t="shared" si="5"/>
        <v>23</v>
      </c>
      <c r="D13" s="2">
        <f>IF(MATCH(B13,ABC,0)-$D$4&lt;=0,MATCH(B13,ABC,0)-$D$4+40,MATCH(B13,ABC,0)-$D$4)</f>
        <v>18</v>
      </c>
      <c r="E13" s="2" t="str">
        <f>INDEX(ABC,D13)</f>
        <v>Й</v>
      </c>
      <c r="F13" s="1" t="str">
        <f t="shared" si="4"/>
        <v xml:space="preserve">ГАЙ ЮЛИЙ</v>
      </c>
      <c r="G13" s="1"/>
      <c r="H13" s="1"/>
      <c r="I13" s="1"/>
      <c r="J13" s="1"/>
      <c r="K13" s="1"/>
      <c r="L13" s="1"/>
    </row>
    <row r="14" ht="18.75">
      <c r="A14" s="1">
        <v>9</v>
      </c>
      <c r="B14" s="1" t="str">
        <f t="shared" si="2"/>
        <v>А</v>
      </c>
      <c r="C14" s="2">
        <f t="shared" si="5"/>
        <v>8</v>
      </c>
      <c r="D14" s="2">
        <f>IF(MATCH(B14,ABC,0)-$D$4&lt;=0,MATCH(B14,ABC,0)-$D$4+40,MATCH(B14,ABC,0)-$D$4)</f>
        <v>3</v>
      </c>
      <c r="E14" s="2" t="str">
        <f>INDEX(ABC,D14)</f>
        <v xml:space="preserve"> </v>
      </c>
      <c r="F14" s="1" t="str">
        <f t="shared" si="4"/>
        <v xml:space="preserve">ГАЙ ЮЛИЙ </v>
      </c>
      <c r="G14" s="1"/>
      <c r="H14" s="1"/>
      <c r="I14" s="1"/>
      <c r="J14" s="1"/>
      <c r="K14" s="1"/>
      <c r="L14" s="1"/>
    </row>
    <row r="15" ht="18.75">
      <c r="A15" s="1">
        <v>10</v>
      </c>
      <c r="B15" s="1" t="str">
        <f t="shared" si="2"/>
        <v>Ы</v>
      </c>
      <c r="C15" s="2">
        <f t="shared" si="5"/>
        <v>36</v>
      </c>
      <c r="D15" s="2">
        <f>IF(MATCH(B15,ABC,0)-$D$4&lt;=0,MATCH(B15,ABC,0)-$D$4+40,MATCH(B15,ABC,0)-$D$4)</f>
        <v>31</v>
      </c>
      <c r="E15" s="2" t="str">
        <f>INDEX(ABC,D15)</f>
        <v>Ц</v>
      </c>
      <c r="F15" s="1" t="str">
        <f t="shared" si="4"/>
        <v xml:space="preserve">ГАЙ ЮЛИЙ Ц</v>
      </c>
      <c r="G15" s="1"/>
      <c r="H15" s="1"/>
      <c r="I15" s="1"/>
      <c r="J15" s="1"/>
      <c r="K15" s="1"/>
      <c r="L15" s="1"/>
    </row>
    <row r="16" ht="18.75">
      <c r="A16" s="1">
        <v>11</v>
      </c>
      <c r="B16" s="1" t="str">
        <f t="shared" si="2"/>
        <v>Й</v>
      </c>
      <c r="C16" s="2">
        <f t="shared" si="5"/>
        <v>18</v>
      </c>
      <c r="D16" s="2">
        <f>IF(MATCH(B16,ABC,0)-$D$4&lt;=0,MATCH(B16,ABC,0)-$D$4+40,MATCH(B16,ABC,0)-$D$4)</f>
        <v>13</v>
      </c>
      <c r="E16" s="2" t="str">
        <f>INDEX(ABC,D16)</f>
        <v>Е</v>
      </c>
      <c r="F16" s="1" t="str">
        <f t="shared" si="4"/>
        <v xml:space="preserve">ГАЙ ЮЛИЙ ЦЕ</v>
      </c>
      <c r="G16" s="1"/>
      <c r="H16" s="1"/>
      <c r="I16" s="1"/>
      <c r="J16" s="1"/>
      <c r="K16" s="1"/>
      <c r="L16" s="1"/>
    </row>
    <row r="17" ht="18.75">
      <c r="A17" s="1">
        <v>12</v>
      </c>
      <c r="B17" s="1" t="str">
        <f t="shared" si="2"/>
        <v>М</v>
      </c>
      <c r="C17" s="2">
        <f t="shared" si="5"/>
        <v>21</v>
      </c>
      <c r="D17" s="2">
        <f>IF(MATCH(B17,ABC,0)-$D$4&lt;=0,MATCH(B17,ABC,0)-$D$4+40,MATCH(B17,ABC,0)-$D$4)</f>
        <v>16</v>
      </c>
      <c r="E17" s="2" t="str">
        <f>INDEX(ABC,D17)</f>
        <v>З</v>
      </c>
      <c r="F17" s="1" t="str">
        <f t="shared" si="4"/>
        <v xml:space="preserve">ГАЙ ЮЛИЙ ЦЕЗ</v>
      </c>
      <c r="G17" s="1"/>
      <c r="H17" s="1"/>
      <c r="I17" s="1"/>
      <c r="J17" s="1"/>
      <c r="K17" s="1"/>
      <c r="L17" s="1"/>
    </row>
    <row r="18" ht="18.75">
      <c r="A18" s="1">
        <v>13</v>
      </c>
      <c r="B18" s="1" t="str">
        <f t="shared" si="2"/>
        <v>Е</v>
      </c>
      <c r="C18" s="2">
        <f t="shared" si="5"/>
        <v>13</v>
      </c>
      <c r="D18" s="2">
        <f>IF(MATCH(B18,ABC,0)-$D$4&lt;=0,MATCH(B18,ABC,0)-$D$4+40,MATCH(B18,ABC,0)-$D$4)</f>
        <v>8</v>
      </c>
      <c r="E18" s="2" t="str">
        <f>INDEX(ABC,D18)</f>
        <v>А</v>
      </c>
      <c r="F18" s="1" t="str">
        <f t="shared" si="4"/>
        <v xml:space="preserve">ГАЙ ЮЛИЙ ЦЕЗА</v>
      </c>
      <c r="G18" s="1"/>
      <c r="H18" s="1"/>
      <c r="I18" s="1"/>
      <c r="J18" s="1"/>
      <c r="K18" s="1"/>
      <c r="L18" s="1"/>
    </row>
    <row r="19" ht="18.75">
      <c r="A19" s="1">
        <v>14</v>
      </c>
      <c r="B19" s="1" t="str">
        <f t="shared" si="2"/>
        <v>Х</v>
      </c>
      <c r="C19" s="2">
        <f t="shared" si="5"/>
        <v>30</v>
      </c>
      <c r="D19" s="2">
        <f>IF(MATCH(B19,ABC,0)-$D$4&lt;=0,MATCH(B19,ABC,0)-$D$4+40,MATCH(B19,ABC,0)-$D$4)</f>
        <v>25</v>
      </c>
      <c r="E19" s="2" t="str">
        <f>INDEX(ABC,D19)</f>
        <v>Р</v>
      </c>
      <c r="F19" s="1" t="str">
        <f t="shared" si="4"/>
        <v xml:space="preserve">ГАЙ ЮЛИЙ ЦЕЗАР</v>
      </c>
      <c r="G19" s="1"/>
      <c r="H19" s="1"/>
      <c r="I19" s="1"/>
      <c r="J19" s="1"/>
      <c r="K19" s="1"/>
      <c r="L19" s="1"/>
    </row>
    <row r="20" ht="18.75">
      <c r="A20" s="1">
        <v>15</v>
      </c>
      <c r="B20" s="1" t="str">
        <f t="shared" si="2"/>
        <v>,</v>
      </c>
      <c r="C20" s="2">
        <f t="shared" si="5"/>
        <v>2</v>
      </c>
      <c r="D20" s="2">
        <f>IF(MATCH(B20,ABC,0)-$D$4&lt;=0,MATCH(B20,ABC,0)-$D$4+40,MATCH(B20,ABC,0)-$D$4)</f>
        <v>37</v>
      </c>
      <c r="E20" s="2" t="str">
        <f>INDEX(ABC,D20)</f>
        <v>Ь</v>
      </c>
      <c r="F20" s="1" t="str">
        <f t="shared" si="4"/>
        <v xml:space="preserve">ГАЙ ЮЛИЙ ЦЕЗАРЬ</v>
      </c>
      <c r="G20" s="1"/>
      <c r="H20" s="1"/>
      <c r="I20" s="1"/>
      <c r="J20" s="1"/>
      <c r="K20" s="1"/>
      <c r="L20" s="1"/>
    </row>
    <row r="21" ht="18.75">
      <c r="A21" s="1">
        <v>16</v>
      </c>
      <c r="B21" s="1" t="str">
        <f t="shared" si="2"/>
        <v>Б</v>
      </c>
      <c r="C21" s="2">
        <f t="shared" si="5"/>
        <v>9</v>
      </c>
      <c r="D21" s="2">
        <f>IF(MATCH(B21,ABC,0)-$D$4&lt;=0,MATCH(B21,ABC,0)-$D$4+40,MATCH(B21,ABC,0)-$D$4)</f>
        <v>4</v>
      </c>
      <c r="E21" s="2" t="str">
        <f>INDEX(ABC,D21)</f>
        <v>:</v>
      </c>
      <c r="F21" s="1" t="str">
        <f t="shared" si="4"/>
        <v xml:space="preserve">ГАЙ ЮЛИЙ ЦЕЗАРЬ:</v>
      </c>
      <c r="G21" s="1"/>
      <c r="H21" s="1"/>
      <c r="I21" s="1"/>
      <c r="J21" s="1"/>
      <c r="K21" s="1"/>
      <c r="L21" s="1"/>
    </row>
    <row r="22" ht="18.75">
      <c r="A22" s="1">
        <v>17</v>
      </c>
      <c r="B22" s="1" t="str">
        <f t="shared" si="2"/>
        <v>В</v>
      </c>
      <c r="C22" s="2">
        <f t="shared" si="5"/>
        <v>10</v>
      </c>
      <c r="D22" s="2">
        <f>IF(MATCH(B22,ABC,0)-$D$4&lt;=0,MATCH(B22,ABC,0)-$D$4+40,MATCH(B22,ABC,0)-$D$4)</f>
        <v>5</v>
      </c>
      <c r="E22" s="2" t="str">
        <f>INDEX(ABC,D22)</f>
        <v>”</v>
      </c>
      <c r="F22" s="1" t="str">
        <f t="shared" si="4"/>
        <v xml:space="preserve">ГАЙ ЮЛИЙ ЦЕЗАРЬ:”</v>
      </c>
      <c r="G22" s="1"/>
      <c r="H22" s="1"/>
      <c r="I22" s="1"/>
      <c r="J22" s="1"/>
      <c r="K22" s="1"/>
      <c r="L22" s="1"/>
    </row>
    <row r="23" ht="18.75">
      <c r="A23" s="1">
        <v>18</v>
      </c>
      <c r="B23" s="1" t="str">
        <f t="shared" si="2"/>
        <v>Ф</v>
      </c>
      <c r="C23" s="2">
        <f t="shared" si="5"/>
        <v>29</v>
      </c>
      <c r="D23" s="2">
        <f>IF(MATCH(B23,ABC,0)-$D$4&lt;=0,MATCH(B23,ABC,0)-$D$4+40,MATCH(B23,ABC,0)-$D$4)</f>
        <v>24</v>
      </c>
      <c r="E23" s="2" t="str">
        <f>INDEX(ABC,D23)</f>
        <v>П</v>
      </c>
      <c r="F23" s="1" t="str">
        <f t="shared" si="4"/>
        <v xml:space="preserve">ГАЙ ЮЛИЙ ЦЕЗАРЬ:”П</v>
      </c>
      <c r="G23" s="1"/>
      <c r="H23" s="1"/>
      <c r="I23" s="1"/>
      <c r="J23" s="1"/>
      <c r="K23" s="1"/>
      <c r="L23" s="1"/>
    </row>
    <row r="24" ht="18.75">
      <c r="A24" s="1">
        <v>19</v>
      </c>
      <c r="B24" s="1" t="str">
        <f t="shared" si="2"/>
        <v>Х</v>
      </c>
      <c r="C24" s="2">
        <f t="shared" si="5"/>
        <v>30</v>
      </c>
      <c r="D24" s="2">
        <f>IF(MATCH(B24,ABC,0)-$D$4&lt;=0,MATCH(B24,ABC,0)-$D$4+40,MATCH(B24,ABC,0)-$D$4)</f>
        <v>25</v>
      </c>
      <c r="E24" s="2" t="str">
        <f>INDEX(ABC,D24)</f>
        <v>Р</v>
      </c>
      <c r="F24" s="1" t="str">
        <f t="shared" si="4"/>
        <v xml:space="preserve">ГАЙ ЮЛИЙ ЦЕЗАРЬ:”ПР</v>
      </c>
      <c r="G24" s="1"/>
      <c r="H24" s="1"/>
      <c r="I24" s="1"/>
      <c r="J24" s="1"/>
      <c r="K24" s="1"/>
      <c r="L24" s="1"/>
    </row>
    <row r="25" ht="18.75">
      <c r="A25" s="1">
        <v>20</v>
      </c>
      <c r="B25" s="1" t="str">
        <f t="shared" si="2"/>
        <v>Н</v>
      </c>
      <c r="C25" s="2">
        <f t="shared" si="5"/>
        <v>22</v>
      </c>
      <c r="D25" s="2">
        <f>IF(MATCH(B25,ABC,0)-$D$4&lt;=0,MATCH(B25,ABC,0)-$D$4+40,MATCH(B25,ABC,0)-$D$4)</f>
        <v>17</v>
      </c>
      <c r="E25" s="2" t="str">
        <f>INDEX(ABC,D25)</f>
        <v>И</v>
      </c>
      <c r="F25" s="1" t="str">
        <f t="shared" si="4"/>
        <v xml:space="preserve">ГАЙ ЮЛИЙ ЦЕЗАРЬ:”ПРИ</v>
      </c>
      <c r="G25" s="1"/>
      <c r="H25" s="1"/>
      <c r="I25" s="1"/>
      <c r="J25" s="1"/>
      <c r="K25" s="1"/>
      <c r="L25" s="1"/>
    </row>
    <row r="26" ht="18.75">
      <c r="A26" s="1">
        <v>21</v>
      </c>
      <c r="B26" s="1" t="str">
        <f t="shared" si="2"/>
        <v>Э</v>
      </c>
      <c r="C26" s="2">
        <f t="shared" si="5"/>
        <v>38</v>
      </c>
      <c r="D26" s="2">
        <f>IF(MATCH(B26,ABC,0)-$D$4&lt;=0,MATCH(B26,ABC,0)-$D$4+40,MATCH(B26,ABC,0)-$D$4)</f>
        <v>33</v>
      </c>
      <c r="E26" s="2" t="str">
        <f>INDEX(ABC,D26)</f>
        <v>Ш</v>
      </c>
      <c r="F26" s="1" t="str">
        <f t="shared" si="4"/>
        <v xml:space="preserve">ГАЙ ЮЛИЙ ЦЕЗАРЬ:”ПРИШ</v>
      </c>
      <c r="G26" s="1"/>
      <c r="H26" s="1"/>
      <c r="I26" s="1"/>
      <c r="J26" s="1"/>
      <c r="K26" s="1"/>
      <c r="L26" s="1"/>
    </row>
    <row r="27" ht="18.75">
      <c r="A27" s="1">
        <v>22</v>
      </c>
      <c r="B27" s="1" t="str">
        <f t="shared" si="2"/>
        <v>Й</v>
      </c>
      <c r="C27" s="2">
        <f t="shared" si="5"/>
        <v>18</v>
      </c>
      <c r="D27" s="2">
        <f>IF(MATCH(B27,ABC,0)-$D$4&lt;=0,MATCH(B27,ABC,0)-$D$4+40,MATCH(B27,ABC,0)-$D$4)</f>
        <v>13</v>
      </c>
      <c r="E27" s="2" t="str">
        <f>INDEX(ABC,D27)</f>
        <v>Е</v>
      </c>
      <c r="F27" s="1" t="str">
        <f t="shared" si="4"/>
        <v xml:space="preserve">ГАЙ ЮЛИЙ ЦЕЗАРЬ:”ПРИШЕ</v>
      </c>
      <c r="G27" s="1"/>
      <c r="H27" s="1"/>
      <c r="I27" s="1"/>
      <c r="J27" s="1"/>
      <c r="K27" s="1"/>
      <c r="L27" s="1"/>
    </row>
    <row r="28" ht="18.75">
      <c r="A28" s="1">
        <v>23</v>
      </c>
      <c r="B28" s="1" t="str">
        <f t="shared" si="2"/>
        <v>Р</v>
      </c>
      <c r="C28" s="2">
        <f t="shared" si="5"/>
        <v>25</v>
      </c>
      <c r="D28" s="2">
        <f>IF(MATCH(B28,ABC,0)-$D$4&lt;=0,MATCH(B28,ABC,0)-$D$4+40,MATCH(B28,ABC,0)-$D$4)</f>
        <v>20</v>
      </c>
      <c r="E28" s="2" t="str">
        <f>INDEX(ABC,D28)</f>
        <v>Л</v>
      </c>
      <c r="F28" s="1" t="str">
        <f t="shared" si="4"/>
        <v xml:space="preserve">ГАЙ ЮЛИЙ ЦЕЗАРЬ:”ПРИШЕЛ</v>
      </c>
      <c r="G28" s="1"/>
      <c r="H28" s="1"/>
      <c r="I28" s="1"/>
      <c r="J28" s="1"/>
      <c r="K28" s="1"/>
      <c r="L28" s="1"/>
    </row>
    <row r="29" ht="18.75">
      <c r="A29" s="1">
        <v>24</v>
      </c>
      <c r="B29" s="1" t="str">
        <f t="shared" si="2"/>
        <v>;</v>
      </c>
      <c r="C29" s="2">
        <f t="shared" si="5"/>
        <v>7</v>
      </c>
      <c r="D29" s="2">
        <f>IF(MATCH(B29,ABC,0)-$D$4&lt;=0,MATCH(B29,ABC,0)-$D$4+40,MATCH(B29,ABC,0)-$D$4)</f>
        <v>2</v>
      </c>
      <c r="E29" s="2" t="str">
        <f>INDEX(ABC,D29)</f>
        <v>,</v>
      </c>
      <c r="F29" s="1" t="str">
        <f t="shared" si="4"/>
        <v xml:space="preserve">ГАЙ ЮЛИЙ ЦЕЗАРЬ:”ПРИШЕЛ,</v>
      </c>
      <c r="G29" s="1"/>
      <c r="H29" s="1"/>
      <c r="I29" s="1"/>
      <c r="J29" s="1"/>
      <c r="K29" s="1"/>
      <c r="L29" s="1"/>
    </row>
    <row r="30" ht="18.75">
      <c r="A30" s="1">
        <v>25</v>
      </c>
      <c r="B30" s="1" t="str">
        <f t="shared" si="2"/>
        <v>А</v>
      </c>
      <c r="C30" s="2">
        <f t="shared" si="5"/>
        <v>8</v>
      </c>
      <c r="D30" s="2">
        <f>IF(MATCH(B30,ABC,0)-$D$4&lt;=0,MATCH(B30,ABC,0)-$D$4+40,MATCH(B30,ABC,0)-$D$4)</f>
        <v>3</v>
      </c>
      <c r="E30" s="2" t="str">
        <f>INDEX(ABC,D30)</f>
        <v xml:space="preserve"> </v>
      </c>
      <c r="F30" s="1" t="str">
        <f t="shared" si="4"/>
        <v xml:space="preserve">ГАЙ ЮЛИЙ ЦЕЗАРЬ:”ПРИШЕЛ, </v>
      </c>
      <c r="G30" s="1"/>
      <c r="H30" s="1"/>
      <c r="I30" s="1"/>
      <c r="J30" s="1"/>
      <c r="K30" s="1"/>
      <c r="L30" s="1"/>
    </row>
    <row r="31" ht="18.75">
      <c r="A31" s="1">
        <v>26</v>
      </c>
      <c r="B31" s="1" t="str">
        <f t="shared" si="2"/>
        <v>Ш</v>
      </c>
      <c r="C31" s="2">
        <f t="shared" si="5"/>
        <v>33</v>
      </c>
      <c r="D31" s="2">
        <f>IF(MATCH(B31,ABC,0)-$D$4&lt;=0,MATCH(B31,ABC,0)-$D$4+40,MATCH(B31,ABC,0)-$D$4)</f>
        <v>28</v>
      </c>
      <c r="E31" s="2" t="str">
        <f>INDEX(ABC,D31)</f>
        <v>У</v>
      </c>
      <c r="F31" s="1" t="str">
        <f t="shared" si="4"/>
        <v xml:space="preserve">ГАЙ ЮЛИЙ ЦЕЗАРЬ:”ПРИШЕЛ, У</v>
      </c>
      <c r="G31" s="1"/>
      <c r="H31" s="1"/>
      <c r="I31" s="1"/>
      <c r="J31" s="1"/>
      <c r="K31" s="1"/>
      <c r="L31" s="1"/>
    </row>
    <row r="32" ht="18.75">
      <c r="A32" s="1">
        <v>27</v>
      </c>
      <c r="B32" s="1" t="str">
        <f t="shared" si="2"/>
        <v>Ж</v>
      </c>
      <c r="C32" s="2">
        <f t="shared" si="5"/>
        <v>15</v>
      </c>
      <c r="D32" s="2">
        <f>IF(MATCH(B32,ABC,0)-$D$4&lt;=0,MATCH(B32,ABC,0)-$D$4+40,MATCH(B32,ABC,0)-$D$4)</f>
        <v>10</v>
      </c>
      <c r="E32" s="2" t="str">
        <f>INDEX(ABC,D32)</f>
        <v>В</v>
      </c>
      <c r="F32" s="1" t="str">
        <f t="shared" si="4"/>
        <v xml:space="preserve">ГАЙ ЮЛИЙ ЦЕЗАРЬ:”ПРИШЕЛ, УВ</v>
      </c>
      <c r="G32" s="1"/>
      <c r="H32" s="1"/>
      <c r="I32" s="1"/>
      <c r="J32" s="1"/>
      <c r="K32" s="1"/>
      <c r="L32" s="1"/>
    </row>
    <row r="33" ht="18.75">
      <c r="A33" s="1">
        <v>28</v>
      </c>
      <c r="B33" s="1" t="str">
        <f t="shared" si="2"/>
        <v>Н</v>
      </c>
      <c r="C33" s="2">
        <f t="shared" si="5"/>
        <v>22</v>
      </c>
      <c r="D33" s="2">
        <f>IF(MATCH(B33,ABC,0)-$D$4&lt;=0,MATCH(B33,ABC,0)-$D$4+40,MATCH(B33,ABC,0)-$D$4)</f>
        <v>17</v>
      </c>
      <c r="E33" s="2" t="str">
        <f>INDEX(ABC,D33)</f>
        <v>И</v>
      </c>
      <c r="F33" s="1" t="str">
        <f t="shared" si="4"/>
        <v xml:space="preserve">ГАЙ ЮЛИЙ ЦЕЗАРЬ:”ПРИШЕЛ, УВИ</v>
      </c>
      <c r="G33" s="1"/>
      <c r="H33" s="1"/>
      <c r="I33" s="1"/>
      <c r="J33" s="1"/>
      <c r="K33" s="1"/>
      <c r="L33" s="1"/>
    </row>
    <row r="34" ht="18.75">
      <c r="A34" s="1">
        <v>29</v>
      </c>
      <c r="B34" s="1" t="str">
        <f t="shared" si="2"/>
        <v>И</v>
      </c>
      <c r="C34" s="2">
        <f t="shared" si="5"/>
        <v>17</v>
      </c>
      <c r="D34" s="2">
        <f>IF(MATCH(B34,ABC,0)-$D$4&lt;=0,MATCH(B34,ABC,0)-$D$4+40,MATCH(B34,ABC,0)-$D$4)</f>
        <v>12</v>
      </c>
      <c r="E34" s="2" t="str">
        <f>INDEX(ABC,D34)</f>
        <v>Д</v>
      </c>
      <c r="F34" s="1" t="str">
        <f t="shared" si="4"/>
        <v xml:space="preserve">ГАЙ ЮЛИЙ ЦЕЗАРЬ:”ПРИШЕЛ, УВИД</v>
      </c>
      <c r="G34" s="1"/>
      <c r="H34" s="1"/>
      <c r="I34" s="1"/>
      <c r="J34" s="1"/>
      <c r="K34" s="1"/>
      <c r="L34" s="1"/>
    </row>
    <row r="35" ht="18.75">
      <c r="A35" s="1">
        <v>30</v>
      </c>
      <c r="B35" s="1" t="str">
        <f t="shared" si="2"/>
        <v>Й</v>
      </c>
      <c r="C35" s="2">
        <f t="shared" si="5"/>
        <v>18</v>
      </c>
      <c r="D35" s="2">
        <f>IF(MATCH(B35,ABC,0)-$D$4&lt;=0,MATCH(B35,ABC,0)-$D$4+40,MATCH(B35,ABC,0)-$D$4)</f>
        <v>13</v>
      </c>
      <c r="E35" s="2" t="str">
        <f>INDEX(ABC,D35)</f>
        <v>Е</v>
      </c>
      <c r="F35" s="1" t="str">
        <f t="shared" si="4"/>
        <v xml:space="preserve">ГАЙ ЮЛИЙ ЦЕЗАРЬ:”ПРИШЕЛ, УВИДЕ</v>
      </c>
      <c r="G35" s="1"/>
      <c r="H35" s="1"/>
      <c r="I35" s="1"/>
      <c r="J35" s="1"/>
      <c r="K35" s="1"/>
      <c r="L35" s="1"/>
    </row>
    <row r="36" ht="18.75">
      <c r="A36" s="1">
        <v>31</v>
      </c>
      <c r="B36" s="1" t="str">
        <f t="shared" si="2"/>
        <v>Р</v>
      </c>
      <c r="C36" s="2">
        <f t="shared" si="5"/>
        <v>25</v>
      </c>
      <c r="D36" s="2">
        <f>IF(MATCH(B36,ABC,0)-$D$4&lt;=0,MATCH(B36,ABC,0)-$D$4+40,MATCH(B36,ABC,0)-$D$4)</f>
        <v>20</v>
      </c>
      <c r="E36" s="2" t="str">
        <f>INDEX(ABC,D36)</f>
        <v>Л</v>
      </c>
      <c r="F36" s="1" t="str">
        <f t="shared" si="4"/>
        <v xml:space="preserve">ГАЙ ЮЛИЙ ЦЕЗАРЬ:”ПРИШЕЛ, УВИДЕЛ</v>
      </c>
      <c r="G36" s="1"/>
      <c r="H36" s="1"/>
      <c r="I36" s="1"/>
      <c r="J36" s="1"/>
      <c r="K36" s="1"/>
      <c r="L36" s="1"/>
    </row>
    <row r="37" ht="18.75">
      <c r="A37" s="1">
        <v>32</v>
      </c>
      <c r="B37" s="1" t="str">
        <f t="shared" si="2"/>
        <v>;</v>
      </c>
      <c r="C37" s="2">
        <f t="shared" si="5"/>
        <v>7</v>
      </c>
      <c r="D37" s="2">
        <f>IF(MATCH(B37,ABC,0)-$D$4&lt;=0,MATCH(B37,ABC,0)-$D$4+40,MATCH(B37,ABC,0)-$D$4)</f>
        <v>2</v>
      </c>
      <c r="E37" s="2" t="str">
        <f>INDEX(ABC,D37)</f>
        <v>,</v>
      </c>
      <c r="F37" s="1" t="str">
        <f t="shared" si="4"/>
        <v xml:space="preserve">ГАЙ ЮЛИЙ ЦЕЗАРЬ:”ПРИШЕЛ, УВИДЕЛ,</v>
      </c>
      <c r="G37" s="1"/>
      <c r="H37" s="1"/>
      <c r="I37" s="1"/>
      <c r="J37" s="1"/>
      <c r="K37" s="1"/>
      <c r="L37" s="1"/>
    </row>
    <row r="38" ht="18.75">
      <c r="A38" s="1">
        <v>33</v>
      </c>
      <c r="B38" s="1" t="str">
        <f t="shared" si="2"/>
        <v>А</v>
      </c>
      <c r="C38" s="2">
        <f t="shared" si="5"/>
        <v>8</v>
      </c>
      <c r="D38" s="2">
        <f>IF(MATCH(B38,ABC,0)-$D$4&lt;=0,MATCH(B38,ABC,0)-$D$4+40,MATCH(B38,ABC,0)-$D$4)</f>
        <v>3</v>
      </c>
      <c r="E38" s="2" t="str">
        <f>INDEX(ABC,D38)</f>
        <v xml:space="preserve"> </v>
      </c>
      <c r="F38" s="1" t="str">
        <f t="shared" si="4"/>
        <v xml:space="preserve">ГАЙ ЮЛИЙ ЦЕЗАРЬ:”ПРИШЕЛ, УВИДЕЛ, </v>
      </c>
      <c r="G38" s="1"/>
      <c r="H38" s="1"/>
      <c r="I38" s="1"/>
      <c r="J38" s="1"/>
      <c r="K38" s="1"/>
      <c r="L38" s="1"/>
    </row>
    <row r="39" ht="18.75">
      <c r="A39" s="1">
        <v>34</v>
      </c>
      <c r="B39" s="1" t="str">
        <f t="shared" si="2"/>
        <v>Ф</v>
      </c>
      <c r="C39" s="2">
        <f t="shared" si="5"/>
        <v>29</v>
      </c>
      <c r="D39" s="2">
        <f>IF(MATCH(B39,ABC,0)-$D$4&lt;=0,MATCH(B39,ABC,0)-$D$4+40,MATCH(B39,ABC,0)-$D$4)</f>
        <v>24</v>
      </c>
      <c r="E39" s="2" t="str">
        <f>INDEX(ABC,D39)</f>
        <v>П</v>
      </c>
      <c r="F39" s="1" t="str">
        <f t="shared" si="4"/>
        <v xml:space="preserve">ГАЙ ЮЛИЙ ЦЕЗАРЬ:”ПРИШЕЛ, УВИДЕЛ, П</v>
      </c>
      <c r="G39" s="1"/>
      <c r="H39" s="1"/>
      <c r="I39" s="1"/>
      <c r="J39" s="1"/>
      <c r="K39" s="1"/>
      <c r="L39" s="1"/>
    </row>
    <row r="40" ht="18.75">
      <c r="A40" s="1">
        <v>35</v>
      </c>
      <c r="B40" s="1" t="str">
        <f t="shared" si="2"/>
        <v>У</v>
      </c>
      <c r="C40" s="2">
        <f t="shared" si="5"/>
        <v>28</v>
      </c>
      <c r="D40" s="2">
        <f>IF(MATCH(B40,ABC,0)-$D$4&lt;=0,MATCH(B40,ABC,0)-$D$4+40,MATCH(B40,ABC,0)-$D$4)</f>
        <v>23</v>
      </c>
      <c r="E40" s="2" t="str">
        <f>INDEX(ABC,D40)</f>
        <v>О</v>
      </c>
      <c r="F40" s="1" t="str">
        <f t="shared" si="4"/>
        <v xml:space="preserve">ГАЙ ЮЛИЙ ЦЕЗАРЬ:”ПРИШЕЛ, УВИДЕЛ, ПО</v>
      </c>
      <c r="G40" s="1"/>
      <c r="H40" s="1"/>
      <c r="I40" s="1"/>
      <c r="J40" s="1"/>
      <c r="K40" s="1"/>
      <c r="L40" s="1"/>
    </row>
    <row r="41" ht="18.75">
      <c r="A41" s="1">
        <v>36</v>
      </c>
      <c r="B41" s="1" t="str">
        <f t="shared" si="2"/>
        <v>-</v>
      </c>
      <c r="C41" s="2">
        <f t="shared" si="5"/>
        <v>14</v>
      </c>
      <c r="D41" s="2">
        <f>IF(MATCH(B41,ABC,0)-$D$4&lt;=0,MATCH(B41,ABC,0)-$D$4+40,MATCH(B41,ABC,0)-$D$4)</f>
        <v>9</v>
      </c>
      <c r="E41" s="2" t="str">
        <f>INDEX(ABC,D41)</f>
        <v>Б</v>
      </c>
      <c r="F41" s="1" t="str">
        <f t="shared" si="4"/>
        <v xml:space="preserve">ГАЙ ЮЛИЙ ЦЕЗАРЬ:”ПРИШЕЛ, УВИДЕЛ, ПОБ</v>
      </c>
      <c r="G41" s="1"/>
      <c r="H41" s="1"/>
      <c r="I41" s="1"/>
      <c r="J41" s="1"/>
      <c r="K41" s="1"/>
      <c r="L41" s="1"/>
    </row>
    <row r="42" ht="18.75">
      <c r="A42" s="1">
        <v>37</v>
      </c>
      <c r="B42" s="1" t="str">
        <f t="shared" si="2"/>
        <v>Й</v>
      </c>
      <c r="C42" s="2">
        <f t="shared" si="5"/>
        <v>18</v>
      </c>
      <c r="D42" s="2">
        <f>IF(MATCH(B42,ABC,0)-$D$4&lt;=0,MATCH(B42,ABC,0)-$D$4+40,MATCH(B42,ABC,0)-$D$4)</f>
        <v>13</v>
      </c>
      <c r="E42" s="2" t="str">
        <f>INDEX(ABC,D42)</f>
        <v>Е</v>
      </c>
      <c r="F42" s="1" t="str">
        <f t="shared" si="4"/>
        <v xml:space="preserve">ГАЙ ЮЛИЙ ЦЕЗАРЬ:”ПРИШЕЛ, УВИДЕЛ, ПОБЕ</v>
      </c>
      <c r="G42" s="1"/>
      <c r="H42" s="1"/>
      <c r="I42" s="1"/>
      <c r="J42" s="1"/>
      <c r="K42" s="1"/>
      <c r="L42" s="1"/>
    </row>
    <row r="43" ht="18.75">
      <c r="A43" s="1">
        <v>38</v>
      </c>
      <c r="B43" s="1" t="str">
        <f t="shared" si="2"/>
        <v>И</v>
      </c>
      <c r="C43" s="2">
        <f t="shared" si="5"/>
        <v>17</v>
      </c>
      <c r="D43" s="2">
        <f>IF(MATCH(B43,ABC,0)-$D$4&lt;=0,MATCH(B43,ABC,0)-$D$4+40,MATCH(B43,ABC,0)-$D$4)</f>
        <v>12</v>
      </c>
      <c r="E43" s="2" t="str">
        <f>INDEX(ABC,D43)</f>
        <v>Д</v>
      </c>
      <c r="F43" s="1" t="str">
        <f t="shared" si="4"/>
        <v xml:space="preserve">ГАЙ ЮЛИЙ ЦЕЗАРЬ:”ПРИШЕЛ, УВИДЕЛ, ПОБЕД</v>
      </c>
      <c r="G43" s="1"/>
      <c r="H43" s="1"/>
      <c r="I43" s="1"/>
      <c r="J43" s="1"/>
      <c r="K43" s="1"/>
      <c r="L43" s="1"/>
    </row>
    <row r="44" ht="18.75">
      <c r="A44" s="1">
        <v>39</v>
      </c>
      <c r="B44" s="1" t="str">
        <f t="shared" si="2"/>
        <v>Н</v>
      </c>
      <c r="C44" s="2">
        <f t="shared" si="5"/>
        <v>22</v>
      </c>
      <c r="D44" s="2">
        <f>IF(MATCH(B44,ABC,0)-$D$4&lt;=0,MATCH(B44,ABC,0)-$D$4+40,MATCH(B44,ABC,0)-$D$4)</f>
        <v>17</v>
      </c>
      <c r="E44" s="2" t="str">
        <f>INDEX(ABC,D44)</f>
        <v>И</v>
      </c>
      <c r="F44" s="1" t="str">
        <f t="shared" si="4"/>
        <v xml:space="preserve">ГАЙ ЮЛИЙ ЦЕЗАРЬ:”ПРИШЕЛ, УВИДЕЛ, ПОБЕДИ</v>
      </c>
      <c r="G44" s="1"/>
      <c r="H44" s="1"/>
      <c r="I44" s="1"/>
      <c r="J44" s="1"/>
      <c r="K44" s="1"/>
      <c r="L44" s="1"/>
    </row>
    <row r="45" ht="18.75">
      <c r="A45" s="1">
        <v>40</v>
      </c>
      <c r="B45" s="1" t="str">
        <f t="shared" si="2"/>
        <v>Р</v>
      </c>
      <c r="C45" s="2">
        <f t="shared" si="5"/>
        <v>25</v>
      </c>
      <c r="D45" s="2">
        <f>IF(MATCH(B45,ABC,0)-$D$4&lt;=0,MATCH(B45,ABC,0)-$D$4+40,MATCH(B45,ABC,0)-$D$4)</f>
        <v>20</v>
      </c>
      <c r="E45" s="2" t="str">
        <f>INDEX(ABC,D45)</f>
        <v>Л</v>
      </c>
      <c r="F45" s="1" t="str">
        <f t="shared" si="4"/>
        <v xml:space="preserve">ГАЙ ЮЛИЙ ЦЕЗАРЬ:”ПРИШЕЛ, УВИДЕЛ, ПОБЕДИЛ</v>
      </c>
      <c r="G45" s="1"/>
      <c r="H45" s="1"/>
      <c r="I45" s="1"/>
      <c r="J45" s="1"/>
      <c r="K45" s="1"/>
      <c r="L45" s="1"/>
    </row>
    <row r="46" ht="18.75">
      <c r="A46" s="1">
        <v>41</v>
      </c>
      <c r="B46" s="1" t="str">
        <f t="shared" si="2"/>
        <v>Г</v>
      </c>
      <c r="C46" s="2">
        <f t="shared" si="5"/>
        <v>11</v>
      </c>
      <c r="D46" s="2">
        <f>IF(MATCH(B46,ABC,0)-$D$4&lt;=0,MATCH(B46,ABC,0)-$D$4+40,MATCH(B46,ABC,0)-$D$4)</f>
        <v>6</v>
      </c>
      <c r="E46" s="2" t="str">
        <f>INDEX(ABC,D46)</f>
        <v>!</v>
      </c>
      <c r="F46" s="1" t="str">
        <f t="shared" si="4"/>
        <v xml:space="preserve">ГАЙ ЮЛИЙ ЦЕЗАРЬ:”ПРИШЕЛ, УВИДЕЛ, ПОБЕДИЛ!</v>
      </c>
      <c r="G46" s="1"/>
      <c r="H46" s="1"/>
      <c r="I46" s="1"/>
      <c r="J46" s="1"/>
      <c r="K46" s="1"/>
      <c r="L46" s="1"/>
    </row>
    <row r="47" ht="18.75">
      <c r="A47" s="1">
        <v>42</v>
      </c>
      <c r="B47" s="1" t="str">
        <f t="shared" si="2"/>
        <v>В</v>
      </c>
      <c r="C47" s="2">
        <f t="shared" si="5"/>
        <v>10</v>
      </c>
      <c r="D47" s="2">
        <f>IF(MATCH(B47,ABC,0)-$D$4&lt;=0,MATCH(B47,ABC,0)-$D$4+40,MATCH(B47,ABC,0)-$D$4)</f>
        <v>5</v>
      </c>
      <c r="E47" s="2" t="str">
        <f>INDEX(ABC,D47)</f>
        <v>”</v>
      </c>
      <c r="F47" s="1" t="str">
        <f t="shared" si="4"/>
        <v xml:space="preserve">ГАЙ ЮЛИЙ ЦЕЗАРЬ:”ПРИШЕЛ, УВИДЕЛ, ПОБЕДИЛ!”</v>
      </c>
      <c r="G47" s="1"/>
      <c r="H47" s="1"/>
      <c r="I47" s="1"/>
      <c r="J47" s="1"/>
      <c r="K47" s="1"/>
      <c r="L4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5FC864-33EE-4197-B2A9-C1870A756D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Golishev</dc:creator>
  <cp:revision>1</cp:revision>
  <dcterms:created xsi:type="dcterms:W3CDTF">2015-06-05T18:19:34Z</dcterms:created>
  <dcterms:modified xsi:type="dcterms:W3CDTF">2025-11-29T07:22:58Z</dcterms:modified>
</cp:coreProperties>
</file>